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MASTER" sheetId="1" state="visible" r:id="rId3"/>
    <sheet name="📆 MONTHLY" sheetId="2" state="visible" r:id="rId4"/>
    <sheet name="📅 WEEKLY" sheetId="3" state="visible" r:id="rId5"/>
    <sheet name="เมียลับท่านประธาน" sheetId="4" state="visible" r:id="rId6"/>
    <sheet name="บังคับรักมาเฟียร้าย" sheetId="5" state="visible" r:id="rId7"/>
    <sheet name="พลาดท้องกับเจ้านาย" sheetId="6" state="visible" r:id="rId8"/>
    <sheet name="หมอร้ายได้อีก" sheetId="7" state="visible" r:id="rId9"/>
    <sheet name="ฮาเร็มท่านCEO" sheetId="8" state="visible" r:id="rId10"/>
    <sheet name="คุณชายร้ายกาจ" sheetId="9" state="visible" r:id="rId11"/>
    <sheet name="จอมใจนายทหาร" sheetId="10" state="visible" r:id="rId12"/>
    <sheet name="กลับมารักฉันอีกครั้ง" sheetId="11" state="visible" r:id="rId13"/>
    <sheet name="ดักรักเลขาสาว" sheetId="12" state="visible" r:id="rId14"/>
    <sheet name="คืนนั้นกับคนแปลกหน้า" sheetId="13" state="visible" r:id="rId15"/>
    <sheet name="ซ่อนรักไว้ในใจ" sheetId="14" state="visible" r:id="rId16"/>
    <sheet name="สัญญารักร้อน" sheetId="15" state="visible" r:id="rId17"/>
    <sheet name="เกมรักอันตราย" sheetId="16" state="visible" r:id="rId18"/>
    <sheet name="รักข้ามชนชั้น" sheetId="17" state="visible" r:id="rId19"/>
    <sheet name="เสน่ห์ร้ายนายตำรวจ" sheetId="18" state="visible" r:id="rId20"/>
    <sheet name="จับหัวใจเจ้าชายมาเฟี" sheetId="19" state="visible" r:id="rId21"/>
    <sheet name="รักนี้มีแต่เธอ" sheetId="20" state="visible" r:id="rId22"/>
    <sheet name="พิษรักนางบำเรอ" sheetId="21" state="visible" r:id="rId23"/>
    <sheet name="ลิขิตรักข้ามเวลา" sheetId="22" state="visible" r:id="rId24"/>
    <sheet name="เชลยรักทรราช" sheetId="23" state="visible" r:id="rId25"/>
    <sheet name="บ่วงรักสาวใช้" sheetId="24" state="visible" r:id="rId26"/>
    <sheet name="ร้อนรักวัยดรุณ" sheetId="25" state="visible" r:id="rId27"/>
    <sheet name="ตกหลุมรักนายจอมหยิ่ง" sheetId="26" state="visible" r:id="rId28"/>
    <sheet name="ทาสรักจอมโหด" sheetId="27" state="visible" r:id="rId29"/>
    <sheet name="แม่บ้านตัวร้าย" sheetId="28" state="visible" r:id="rId30"/>
    <sheet name="สะดุดรักยัยจอมแก่น" sheetId="29" state="visible" r:id="rId31"/>
    <sheet name="เพลิงรักนักบินหนุ่ม" sheetId="30" state="visible" r:id="rId32"/>
    <sheet name="รักพิษสวาท" sheetId="31" state="visible" r:id="rId33"/>
    <sheet name="หัวใจทศกัณฐ์" sheetId="32" state="visible" r:id="rId34"/>
    <sheet name="ขังรักไว้ในอ้อมแขน" sheetId="33" state="visible" r:id="rId35"/>
    <sheet name="ว่าที่เมียเจ้าพ่อ" sheetId="34" state="visible" r:id="rId36"/>
    <sheet name="สลับชีวิตรัก" sheetId="35" state="visible" r:id="rId37"/>
    <sheet name="รักต้องห้ามนายหัว" sheetId="36" state="visible" r:id="rId38"/>
    <sheet name="บาปรักลวงใจ" sheetId="37" state="visible" r:id="rId39"/>
    <sheet name="จับจองนางในฝัน" sheetId="38" state="visible" r:id="rId40"/>
    <sheet name="เล่ห์รักวังวน" sheetId="39" state="visible" r:id="rId41"/>
    <sheet name="หมาป่าหัวใจสิงห์" sheetId="40" state="visible" r:id="rId42"/>
    <sheet name="รักนี้ไม่มีถอย" sheetId="41" state="visible" r:id="rId43"/>
    <sheet name="ทัณฑ์รักสั่งสวรรค์" sheetId="42" state="visible" r:id="rId44"/>
    <sheet name="พันธนาการรัก" sheetId="43" state="visible" r:id="rId45"/>
    <sheet name="วิวาห์เดือด" sheetId="44" state="visible" r:id="rId46"/>
    <sheet name="ข้ามเส้นรัก" sheetId="45" state="visible" r:id="rId47"/>
    <sheet name="ปักหมุดรักหัวใจ" sheetId="46" state="visible" r:id="rId48"/>
    <sheet name="เจ้าสาวซาตาน" sheetId="47" state="visible" r:id="rId49"/>
    <sheet name="รักเกินห้ามใจ" sheetId="48" state="visible" r:id="rId50"/>
    <sheet name="คำสาปพญานาค" sheetId="49" state="visible" r:id="rId51"/>
    <sheet name="สืบรักพิสูจน์ใจ" sheetId="50" state="visible" r:id="rId52"/>
    <sheet name="เมียบังเอิญ" sheetId="51" state="visible" r:id="rId53"/>
    <sheet name="จ้าวหัวใจจอมมาร" sheetId="52" state="visible" r:id="rId54"/>
    <sheet name="รักสุดขอบฟ้า" sheetId="53" state="visible" r:id="rId55"/>
  </sheets>
  <definedNames>
    <definedName function="false" hidden="true" localSheetId="1" name="_xlnm._FilterDatabase" vbProcedure="false">'📆 MONTHLY'!$A$27:$K$77</definedName>
    <definedName function="false" hidden="true" localSheetId="0" name="_xlnm._FilterDatabase" vbProcedure="false">'📊 MASTER'!$A$4:$K$54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<sst xmlns="http://schemas.openxmlformats.org/spreadsheetml/2006/main" count="2010" uniqueCount="204">
  <si>
    <t xml:space="preserve">📊 MASTER — นิยายทั้งหมด</t>
  </si>
  <si>
    <t xml:space="preserve">ทั้งหมด 50 เรื่อง  |  กำลังลง: 8  |  ผลิตแล้ว: 19  |  กำลังผลิต: 13  |  รอลง: 8  |  ลงครบแล้ว: 1  |  หยุดลง: 1</t>
  </si>
  <si>
    <t xml:space="preserve">#</t>
  </si>
  <si>
    <t xml:space="preserve">ชื่อเรื่อง</t>
  </si>
  <si>
    <t xml:space="preserve">แนว</t>
  </si>
  <si>
    <t xml:space="preserve">ตอนทั้งหมด</t>
  </si>
  <si>
    <t xml:space="preserve">สถานะ</t>
  </si>
  <si>
    <t xml:space="preserve">HIT</t>
  </si>
  <si>
    <t xml:space="preserve">ธัญวลัย</t>
  </si>
  <si>
    <t xml:space="preserve">readAwrite</t>
  </si>
  <si>
    <t xml:space="preserve">Dek-D</t>
  </si>
  <si>
    <t xml:space="preserve">Fictionlog</t>
  </si>
  <si>
    <t xml:space="preserve">หมายเหตุ</t>
  </si>
  <si>
    <t xml:space="preserve">เมียลับท่านประธาน</t>
  </si>
  <si>
    <t xml:space="preserve">CEO</t>
  </si>
  <si>
    <t xml:space="preserve">กำลังลง</t>
  </si>
  <si>
    <t xml:space="preserve">🔥</t>
  </si>
  <si>
    <t xml:space="preserve">—</t>
  </si>
  <si>
    <t xml:space="preserve">บังคับรักมาเฟียร้าย</t>
  </si>
  <si>
    <t xml:space="preserve">มาเฟีย</t>
  </si>
  <si>
    <t xml:space="preserve">พลาดท้องกับเจ้านาย</t>
  </si>
  <si>
    <t xml:space="preserve">ออฟฟิศ</t>
  </si>
  <si>
    <t xml:space="preserve">หมอร้ายได้อีก</t>
  </si>
  <si>
    <t xml:space="preserve">หมอ</t>
  </si>
  <si>
    <t xml:space="preserve">ฮาเร็มท่านCEO</t>
  </si>
  <si>
    <t xml:space="preserve">ฮาเร็ม</t>
  </si>
  <si>
    <t xml:space="preserve">คุณชายร้ายกาจ</t>
  </si>
  <si>
    <t xml:space="preserve">จอมใจนายทหาร</t>
  </si>
  <si>
    <t xml:space="preserve">ทหาร</t>
  </si>
  <si>
    <t xml:space="preserve">กลับมารักฉันอีกครั้ง</t>
  </si>
  <si>
    <t xml:space="preserve">แก้แค้น</t>
  </si>
  <si>
    <t xml:space="preserve">ดักรักเลขาสาว</t>
  </si>
  <si>
    <t xml:space="preserve">ผลิตแล้ว</t>
  </si>
  <si>
    <t xml:space="preserve">รอลง</t>
  </si>
  <si>
    <t xml:space="preserve">คืนนั้นกับคนแปลกหน้า</t>
  </si>
  <si>
    <t xml:space="preserve">ดราม่า</t>
  </si>
  <si>
    <t xml:space="preserve">ซ่อนรักไว้ในใจ</t>
  </si>
  <si>
    <t xml:space="preserve">โรแมนซ์</t>
  </si>
  <si>
    <t xml:space="preserve">สัญญารักร้อน</t>
  </si>
  <si>
    <t xml:space="preserve">สัญญา</t>
  </si>
  <si>
    <t xml:space="preserve">กำลังผลิต</t>
  </si>
  <si>
    <t xml:space="preserve">เกมรักอันตราย</t>
  </si>
  <si>
    <t xml:space="preserve">สืบสวน</t>
  </si>
  <si>
    <t xml:space="preserve">รักข้ามชนชั้น</t>
  </si>
  <si>
    <t xml:space="preserve">เสน่ห์ร้ายนายตำรวจ</t>
  </si>
  <si>
    <t xml:space="preserve">ตำรวจ</t>
  </si>
  <si>
    <t xml:space="preserve">จับหัวใจเจ้าชายมาเฟีย</t>
  </si>
  <si>
    <t xml:space="preserve">รักนี้มีแต่เธอ</t>
  </si>
  <si>
    <t xml:space="preserve">พิษรักนางบำเรอ</t>
  </si>
  <si>
    <t xml:space="preserve">ย้อนยุค</t>
  </si>
  <si>
    <t xml:space="preserve">ลิขิตรักข้ามเวลา</t>
  </si>
  <si>
    <t xml:space="preserve">แฟนตาซี</t>
  </si>
  <si>
    <t xml:space="preserve">เชลยรักทรราช</t>
  </si>
  <si>
    <t xml:space="preserve">บ่วงรักสาวใช้</t>
  </si>
  <si>
    <t xml:space="preserve">ร้อนรักวัยดรุณ</t>
  </si>
  <si>
    <t xml:space="preserve">วัยรุ่น</t>
  </si>
  <si>
    <t xml:space="preserve">ตกหลุมรักนายจอมหยิ่ง</t>
  </si>
  <si>
    <t xml:space="preserve">ทาสรักจอมโหด</t>
  </si>
  <si>
    <t xml:space="preserve">BDSM</t>
  </si>
  <si>
    <t xml:space="preserve">ลงครบแล้ว</t>
  </si>
  <si>
    <t xml:space="preserve">แม่บ้านตัวร้าย</t>
  </si>
  <si>
    <t xml:space="preserve">หยุดลง</t>
  </si>
  <si>
    <t xml:space="preserve">สะดุดรักยัยจอมแก่น</t>
  </si>
  <si>
    <t xml:space="preserve">เพลิงรักนักบินหนุ่ม</t>
  </si>
  <si>
    <t xml:space="preserve">รักพิษสวาท</t>
  </si>
  <si>
    <t xml:space="preserve">หัวใจทศกัณฐ์</t>
  </si>
  <si>
    <t xml:space="preserve">ขังรักไว้ในอ้อมแขน</t>
  </si>
  <si>
    <t xml:space="preserve">ว่าที่เมียเจ้าพ่อ</t>
  </si>
  <si>
    <t xml:space="preserve">สลับชีวิตรัก</t>
  </si>
  <si>
    <t xml:space="preserve">รักต้องห้ามนายหัว</t>
  </si>
  <si>
    <t xml:space="preserve">บาปรักลวงใจ</t>
  </si>
  <si>
    <t xml:space="preserve">จับจองนางในฝัน</t>
  </si>
  <si>
    <t xml:space="preserve">เล่ห์รักวังวน</t>
  </si>
  <si>
    <t xml:space="preserve">หมาป่าหัวใจสิงห์</t>
  </si>
  <si>
    <t xml:space="preserve">รักนี้ไม่มีถอย</t>
  </si>
  <si>
    <t xml:space="preserve">ทัณฑ์รักสั่งสวรรค์</t>
  </si>
  <si>
    <t xml:space="preserve">พันธนาการรัก</t>
  </si>
  <si>
    <t xml:space="preserve">วิวาห์เดือด</t>
  </si>
  <si>
    <t xml:space="preserve">ข้ามเส้นรัก</t>
  </si>
  <si>
    <t xml:space="preserve">ปักหมุดรักหัวใจ</t>
  </si>
  <si>
    <t xml:space="preserve">เจ้าสาวซาตาน</t>
  </si>
  <si>
    <t xml:space="preserve">รักเกินห้ามใจ</t>
  </si>
  <si>
    <t xml:space="preserve">คำสาปพญานาค</t>
  </si>
  <si>
    <t xml:space="preserve">สืบรักพิสูจน์ใจ</t>
  </si>
  <si>
    <t xml:space="preserve">เมียบังเอิญ</t>
  </si>
  <si>
    <t xml:space="preserve">จ้าวหัวใจจอมมาร</t>
  </si>
  <si>
    <t xml:space="preserve">รักสุดขอบฟ้า</t>
  </si>
  <si>
    <t xml:space="preserve">📆 แผนเดือน กุมภาพันธ์ 2026</t>
  </si>
  <si>
    <t xml:space="preserve">เป้าหมาย: เปิดเรื่องใหม่ 3 เรื่อง/สัปดาห์ = 12 เรื่อง/เดือน</t>
  </si>
  <si>
    <t xml:space="preserve">เป้าเปิดใหม่</t>
  </si>
  <si>
    <t xml:space="preserve">เปิดแล้ว</t>
  </si>
  <si>
    <t xml:space="preserve">เหลืออีก</t>
  </si>
  <si>
    <t xml:space="preserve">กำลังลงอยู่</t>
  </si>
  <si>
    <t xml:space="preserve">เรื่อง</t>
  </si>
  <si>
    <t xml:space="preserve">📅 แผนเปิดเรื่องใหม่รายสัปดาห์</t>
  </si>
  <si>
    <t xml:space="preserve">สัปดาห์</t>
  </si>
  <si>
    <t xml:space="preserve">จันทร์</t>
  </si>
  <si>
    <t xml:space="preserve">พุธ</t>
  </si>
  <si>
    <t xml:space="preserve">ศุกร์</t>
  </si>
  <si>
    <t xml:space="preserve">W1: 3-7 ก.พ.</t>
  </si>
  <si>
    <t xml:space="preserve">📍 สัปดาห์นี้</t>
  </si>
  <si>
    <t xml:space="preserve">W2: 10-14 ก.พ.</t>
  </si>
  <si>
    <t xml:space="preserve">รอดำเนินการ</t>
  </si>
  <si>
    <t xml:space="preserve">W3: 17-21 ก.พ.</t>
  </si>
  <si>
    <t xml:space="preserve">W4: 24-28 ก.พ.</t>
  </si>
  <si>
    <t xml:space="preserve">📊 สถานะนิยายทั้งหมด</t>
  </si>
  <si>
    <t xml:space="preserve">จำนวน</t>
  </si>
  <si>
    <t xml:space="preserve">รายชื่อ</t>
  </si>
  <si>
    <t xml:space="preserve">เมียลับท่านประธาน, บังคับรักมาเฟียร้าย, พลาดท้องกับเจ้านาย, หมอร้ายได้อีก, ฮาเร็มท่านCEO...</t>
  </si>
  <si>
    <t xml:space="preserve">ดักรักเลขาสาว, คืนนั้นกับคนแปลกหน้า, ซ่อนรักไว้ในใจ, รักข้ามชนชั้น, เสน่ห์ร้ายนายตำรวจ...</t>
  </si>
  <si>
    <t xml:space="preserve">สัญญารักร้อน, เกมรักอันตราย, จับหัวใจเจ้าชายมาเฟีย, ลิขิตรักข้ามเวลา, ตกหลุมรักนายจอมหยิ่ง...</t>
  </si>
  <si>
    <t xml:space="preserve">รักนี้มีแต่เธอ, เชลยรักทรราช, บ่วงรักสาวใช้, ขังรักไว้ในอ้อมแขน, บาปรักลวงใจ...</t>
  </si>
  <si>
    <t xml:space="preserve">📚 รายละเอียดนิยายที่ลงเดือนนี้ (ดึงจาก sheet แต่ละเรื่อง)</t>
  </si>
  <si>
    <t xml:space="preserve">ธัญวลัย
ลงถึงตอน</t>
  </si>
  <si>
    <t xml:space="preserve">readAwrite
ลงถึงตอน</t>
  </si>
  <si>
    <t xml:space="preserve">Dek-D
ลงถึงตอน</t>
  </si>
  <si>
    <t xml:space="preserve">Fictionlog
ลงถึงตอน</t>
  </si>
  <si>
    <t xml:space="preserve">📅 งานสัปดาห์นี้ — 10-16 ก.พ. 2026</t>
  </si>
  <si>
    <t xml:space="preserve">เปิดใหม่: จัน/พุธ/ศุกร์ (3 เรื่อง)  |  เรื่องเก่า: วันละ 1 ตอน</t>
  </si>
  <si>
    <t xml:space="preserve">⭐ เปิดเรื่องใหม่ (จัน / พุธ / ศุกร์)</t>
  </si>
  <si>
    <t xml:space="preserve">วัน</t>
  </si>
  <si>
    <t xml:space="preserve">แพลตฟอร์ม</t>
  </si>
  <si>
    <t xml:space="preserve">ลงตอน</t>
  </si>
  <si>
    <t xml:space="preserve">กฎ</t>
  </si>
  <si>
    <t xml:space="preserve">เวลา</t>
  </si>
  <si>
    <t xml:space="preserve">✅</t>
  </si>
  <si>
    <t xml:space="preserve">1-5</t>
  </si>
  <si>
    <t xml:space="preserve">Day1=5ตอน, Day2=5, แล้ววันละ1</t>
  </si>
  <si>
    <t xml:space="preserve">20:00</t>
  </si>
  <si>
    <t xml:space="preserve">21:00</t>
  </si>
  <si>
    <t xml:space="preserve">📤 ลงประจำ วันละ 1 ตอน</t>
  </si>
  <si>
    <t xml:space="preserve">จ</t>
  </si>
  <si>
    <t xml:space="preserve">อ</t>
  </si>
  <si>
    <t xml:space="preserve">พ</t>
  </si>
  <si>
    <t xml:space="preserve">พฤ</t>
  </si>
  <si>
    <t xml:space="preserve">ศ</t>
  </si>
  <si>
    <t xml:space="preserve">📋 สรุป</t>
  </si>
  <si>
    <t xml:space="preserve">เรื่องเปิดใหม่: 3 เรื่อง (จัน/พุธ/ศุกร์)</t>
  </si>
  <si>
    <t xml:space="preserve">ลงประจำ: 19 สาย × วันละ 1 ตอน</t>
  </si>
  <si>
    <t xml:space="preserve">เวลา: ธัญวลัย 20:00 | readAwrite 21:00 | Dek-D 19:00 | Fictionlog 20:30</t>
  </si>
  <si>
    <t xml:space="preserve">🔥 เมียลับท่านประธาน</t>
  </si>
  <si>
    <t xml:space="preserve">แนว: CEO  |  ตอนทั้งหมด: 50  |  💰Paywall: ตอน 20  |  สถานะ: กำลังลง</t>
  </si>
  <si>
    <t xml:space="preserve">ลงแล้ว</t>
  </si>
  <si>
    <t xml:space="preserve">ยังไม่ลง</t>
  </si>
  <si>
    <t xml:space="preserve">💰 Paywall</t>
  </si>
  <si>
    <t xml:space="preserve">ลงถึง
ตอน</t>
  </si>
  <si>
    <t xml:space="preserve">%</t>
  </si>
  <si>
    <t xml:space="preserve">1</t>
  </si>
  <si>
    <t xml:space="preserve">5</t>
  </si>
  <si>
    <t xml:space="preserve">10</t>
  </si>
  <si>
    <t xml:space="preserve">15</t>
  </si>
  <si>
    <t xml:space="preserve">20</t>
  </si>
  <si>
    <t xml:space="preserve">25</t>
  </si>
  <si>
    <t xml:space="preserve">30</t>
  </si>
  <si>
    <t xml:space="preserve">35</t>
  </si>
  <si>
    <t xml:space="preserve">40</t>
  </si>
  <si>
    <t xml:space="preserve">45</t>
  </si>
  <si>
    <t xml:space="preserve">50</t>
  </si>
  <si>
    <t xml:space="preserve">▶</t>
  </si>
  <si>
    <t xml:space="preserve">📌 กฎการลง</t>
  </si>
  <si>
    <t xml:space="preserve">Day 1: ลง 5 ตอน → Day 2: ลง 5 ตอน → หลังจากนั้นวันละ 1</t>
  </si>
  <si>
    <t xml:space="preserve">💰 Paywall ตอนที่ 20  |  ถ้า &lt;5k views ที่ตอน 25 → หยุด</t>
  </si>
  <si>
    <t xml:space="preserve">🔥 บังคับรักมาเฟียร้าย</t>
  </si>
  <si>
    <t xml:space="preserve">แนว: มาเฟีย  |  ตอนทั้งหมด: 45  |  💰Paywall: ตอน 20  |  สถานะ: กำลังลง</t>
  </si>
  <si>
    <t xml:space="preserve">แนว: ออฟฟิศ  |  ตอนทั้งหมด: 40  |  💰Paywall: ตอน 20  |  สถานะ: กำลังลง</t>
  </si>
  <si>
    <t xml:space="preserve">🔥 หมอร้ายได้อีก</t>
  </si>
  <si>
    <t xml:space="preserve">แนว: หมอ  |  ตอนทั้งหมด: 50  |  💰Paywall: ตอน 20  |  สถานะ: กำลังลง</t>
  </si>
  <si>
    <t xml:space="preserve">🔥 ฮาเร็มท่านCEO</t>
  </si>
  <si>
    <t xml:space="preserve">แนว: ฮาเร็ม  |  ตอนทั้งหมด: 50  |  💰Paywall: ตอน 25  |  สถานะ: กำลังลง</t>
  </si>
  <si>
    <t xml:space="preserve">💰 Paywall ตอนที่ 25  |  ถ้า &lt;5k views ที่ตอน 25 → หยุด</t>
  </si>
  <si>
    <t xml:space="preserve">แนว: CEO  |  ตอนทั้งหมด: 45  |  💰Paywall: ตอน 20  |  สถานะ: กำลังลง</t>
  </si>
  <si>
    <t xml:space="preserve">แนว: ทหาร  |  ตอนทั้งหมด: 40  |  💰Paywall: ตอน 20  |  สถานะ: กำลังลง</t>
  </si>
  <si>
    <t xml:space="preserve">แนว: แก้แค้น  |  ตอนทั้งหมด: 50  |  💰Paywall: ตอน 20  |  สถานะ: กำลังลง</t>
  </si>
  <si>
    <t xml:space="preserve">แนว: CEO  |  ตอนทั้งหมด: 40  |  💰Paywall: ตอน 20  |  สถานะ: ผลิตแล้ว</t>
  </si>
  <si>
    <t xml:space="preserve">แนว: ดราม่า  |  ตอนทั้งหมด: 45  |  💰Paywall: ตอน 25  |  สถานะ: ผลิตแล้ว</t>
  </si>
  <si>
    <t xml:space="preserve">แนว: โรแมนซ์  |  ตอนทั้งหมด: 35  |  💰Paywall: ตอน 20  |  สถานะ: ผลิตแล้ว</t>
  </si>
  <si>
    <t xml:space="preserve">แนว: สัญญา  |  ตอนทั้งหมด: 40  |  💰Paywall: ตอน 20  |  สถานะ: กำลังผลิต</t>
  </si>
  <si>
    <t xml:space="preserve">แนว: สืบสวน  |  ตอนทั้งหมด: 45  |  💰Paywall: ตอน 20  |  สถานะ: กำลังผลิต</t>
  </si>
  <si>
    <t xml:space="preserve">แนว: ดราม่า  |  ตอนทั้งหมด: 40  |  💰Paywall: ตอน 20  |  สถานะ: ผลิตแล้ว</t>
  </si>
  <si>
    <t xml:space="preserve">แนว: ตำรวจ  |  ตอนทั้งหมด: 45  |  💰Paywall: ตอน 20  |  สถานะ: ผลิตแล้ว</t>
  </si>
  <si>
    <t xml:space="preserve">แนว: มาเฟีย  |  ตอนทั้งหมด: 50  |  💰Paywall: ตอน 25  |  สถานะ: กำลังผลิต</t>
  </si>
  <si>
    <t xml:space="preserve">แนว: โรแมนซ์  |  ตอนทั้งหมด: 35  |  💰Paywall: ตอน 20  |  สถานะ: รอลง</t>
  </si>
  <si>
    <t xml:space="preserve">แนว: ย้อนยุค  |  ตอนทั้งหมด: 40  |  💰Paywall: ตอน 20  |  สถานะ: ผลิตแล้ว</t>
  </si>
  <si>
    <t xml:space="preserve">แนว: แฟนตาซี  |  ตอนทั้งหมด: 45  |  💰Paywall: ตอน 25  |  สถานะ: กำลังผลิต</t>
  </si>
  <si>
    <t xml:space="preserve">แนว: ย้อนยุค  |  ตอนทั้งหมด: 40  |  💰Paywall: ตอน 20  |  สถานะ: รอลง</t>
  </si>
  <si>
    <t xml:space="preserve">แนว: ดราม่า  |  ตอนทั้งหมด: 35  |  💰Paywall: ตอน 20  |  สถานะ: รอลง</t>
  </si>
  <si>
    <t xml:space="preserve">แนว: วัยรุ่น  |  ตอนทั้งหมด: 30  |  💰Paywall: ตอน 20  |  สถานะ: ผลิตแล้ว</t>
  </si>
  <si>
    <t xml:space="preserve">แนว: CEO  |  ตอนทั้งหมด: 45  |  💰Paywall: ตอน 20  |  สถานะ: กำลังผลิต</t>
  </si>
  <si>
    <t xml:space="preserve">แนว: BDSM  |  ตอนทั้งหมด: 35  |  💰Paywall: ตอน 20  |  สถานะ: ลงครบแล้ว</t>
  </si>
  <si>
    <t xml:space="preserve">แนว: ดราม่า  |  ตอนทั้งหมด: 40  |  💰Paywall: ตอน 20  |  สถานะ: หยุดลง</t>
  </si>
  <si>
    <t xml:space="preserve">แนว: โรแมนซ์  |  ตอนทั้งหมด: 40  |  💰Paywall: ตอน 20  |  สถานะ: ผลิตแล้ว</t>
  </si>
  <si>
    <t xml:space="preserve">แนว: ดราม่า  |  ตอนทั้งหมด: 45  |  💰Paywall: ตอน 20  |  สถานะ: กำลังผลิต</t>
  </si>
  <si>
    <t xml:space="preserve">แนว: แฟนตาซี  |  ตอนทั้งหมด: 50  |  💰Paywall: ตอน 25  |  สถานะ: กำลังผลิต</t>
  </si>
  <si>
    <t xml:space="preserve">แนว: มาเฟีย  |  ตอนทั้งหมด: 40  |  💰Paywall: ตอน 20  |  สถานะ: รอลง</t>
  </si>
  <si>
    <t xml:space="preserve">แนว: มาเฟีย  |  ตอนทั้งหมด: 45  |  💰Paywall: ตอน 20  |  สถานะ: ผลิตแล้ว</t>
  </si>
  <si>
    <t xml:space="preserve">แนว: แฟนตาซี  |  ตอนทั้งหมด: 40  |  💰Paywall: ตอน 25  |  สถานะ: ผลิตแล้ว</t>
  </si>
  <si>
    <t xml:space="preserve">แนว: ดราม่า  |  ตอนทั้งหมด: 40  |  💰Paywall: ตอน 20  |  สถานะ: รอลง</t>
  </si>
  <si>
    <t xml:space="preserve">แนว: ดราม่า  |  ตอนทั้งหมด: 40  |  💰Paywall: ตอน 20  |  สถานะ: กำลังผลิต</t>
  </si>
  <si>
    <t xml:space="preserve">แนว: BDSM  |  ตอนทั้งหมด: 35  |  💰Paywall: ตอน 20  |  สถานะ: รอลง</t>
  </si>
  <si>
    <t xml:space="preserve">แนว: ดราม่า  |  ตอนทั้งหมด: 45  |  💰Paywall: ตอน 20  |  สถานะ: ผลิตแล้ว</t>
  </si>
  <si>
    <t xml:space="preserve">แนว: ออฟฟิศ  |  ตอนทั้งหมด: 40  |  💰Paywall: ตอน 20  |  สถานะ: กำลังผลิต</t>
  </si>
  <si>
    <t xml:space="preserve">แนว: มาเฟีย  |  ตอนทั้งหมด: 45  |  💰Paywall: ตอน 20  |  สถานะ: รอลง</t>
  </si>
  <si>
    <t xml:space="preserve">แนว: สืบสวน  |  ตอนทั้งหมด: 40  |  💰Paywall: ตอน 20  |  สถานะ: ผลิตแล้ว</t>
  </si>
  <si>
    <t xml:space="preserve">แนว: CEO  |  ตอนทั้งหมด: 35  |  💰Paywall: ตอน 20  |  สถานะ: รอลง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</si>
</sst>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sz val="10"/>
      <color rgb="FFD1D5DB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0"/>
      <color rgb="FFA855F7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22C55E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9"/>
      <color rgb="FF9CA3AF"/>
      <name val="Arial"/>
      <family val="0"/>
      <charset val="1"/>
    </font>
    <font>
      <b val="true"/>
      <sz val="18"/>
      <color rgb="FFF59E0B"/>
      <name val="Arial"/>
      <family val="0"/>
      <charset val="1"/>
    </font>
    <font>
      <b val="true"/>
      <sz val="18"/>
      <color rgb="FF22C55E"/>
      <name val="Arial"/>
      <family val="0"/>
      <charset val="1"/>
    </font>
    <font>
      <b val="true"/>
      <sz val="18"/>
      <color rgb="FFEF4444"/>
      <name val="Arial"/>
      <family val="0"/>
      <charset val="1"/>
    </font>
    <font>
      <b val="true"/>
      <sz val="18"/>
      <color rgb="FF3B82F6"/>
      <name val="Arial"/>
      <family val="0"/>
      <charset val="1"/>
    </font>
    <font>
      <b val="true"/>
      <sz val="18"/>
      <color rgb="FF9CA3AF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3"/>
      <color rgb="FFF59E0B"/>
      <name val="Arial"/>
      <family val="0"/>
      <charset val="1"/>
    </font>
    <font>
      <b val="true"/>
      <sz val="13"/>
      <color rgb="FFA855F7"/>
      <name val="Arial"/>
      <family val="0"/>
      <charset val="1"/>
    </font>
    <font>
      <b val="true"/>
      <sz val="13"/>
      <color rgb="FF3B82F6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8"/>
      <color rgb="FF1F2937"/>
      <name val="Arial"/>
      <family val="0"/>
      <charset val="1"/>
    </font>
    <font>
      <b val="true"/>
      <sz val="12"/>
      <color rgb="FF3B82F6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b val="true"/>
      <sz val="12"/>
      <color rgb="FF9CA3AF"/>
      <name val="Arial"/>
      <family val="0"/>
      <charset val="1"/>
    </font>
    <font>
      <b val="true"/>
      <sz val="12"/>
      <color rgb="FF22C55E"/>
      <name val="Arial"/>
      <family val="0"/>
      <charset val="1"/>
    </font>
    <font>
      <b val="true"/>
      <sz val="14"/>
      <color rgb="FF1F2937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374151"/>
        <bgColor rgb="FF1F2937"/>
      </patternFill>
    </fill>
    <fill>
      <patternFill patternType="solid">
        <fgColor rgb="FFF59E0B"/>
        <bgColor rgb="FFFFCC00"/>
      </patternFill>
    </fill>
    <fill>
      <patternFill patternType="solid">
        <fgColor rgb="FF3B82F6"/>
        <bgColor rgb="FF0066CC"/>
      </patternFill>
    </fill>
    <fill>
      <patternFill patternType="solid">
        <fgColor rgb="FFEF4444"/>
        <bgColor rgb="FF993366"/>
      </patternFill>
    </fill>
    <fill>
      <patternFill patternType="solid">
        <fgColor rgb="FF22C55E"/>
        <bgColor rgb="FF33CCCC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3E8FF"/>
      </patternFill>
    </fill>
    <fill>
      <patternFill patternType="solid">
        <fgColor rgb="FFF3E8FF"/>
        <bgColor rgb="FFF3F4F6"/>
      </patternFill>
    </fill>
    <fill>
      <patternFill patternType="solid">
        <fgColor rgb="FFA855F7"/>
        <bgColor rgb="FF9999FF"/>
      </patternFill>
    </fill>
    <fill>
      <patternFill patternType="solid">
        <fgColor rgb="FFDBEAFE"/>
        <bgColor rgb="FFF3E8FF"/>
      </patternFill>
    </fill>
    <fill>
      <patternFill patternType="solid">
        <fgColor rgb="FFFEE2E2"/>
        <bgColor rgb="FFF3E8FF"/>
      </patternFill>
    </fill>
    <fill>
      <patternFill patternType="solid">
        <fgColor rgb="FFDCFCE7"/>
        <bgColor rgb="FFF3F4F6"/>
      </patternFill>
    </fill>
    <fill>
      <patternFill patternType="solid">
        <fgColor rgb="FF86EFAC"/>
        <bgColor rgb="FFD1D5DB"/>
      </patternFill>
    </fill>
    <fill>
      <patternFill patternType="solid">
        <fgColor rgb="FFFDE68A"/>
        <bgColor rgb="FFFEF3C7"/>
      </patternFill>
    </fill>
    <fill>
      <patternFill patternType="solid">
        <fgColor rgb="FFFDA4AF"/>
        <bgColor rgb="FFFF8080"/>
      </patternFill>
    </fill>
    <fill>
      <patternFill patternType="solid">
        <fgColor rgb="FFFCD34D"/>
        <bgColor rgb="FFFDE6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74151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A3A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A855F7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D1D5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E2E2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DE68A"/>
      <rgbColor rgb="FF86EFAC"/>
      <rgbColor rgb="FFFDA4AF"/>
      <rgbColor rgb="FFF3E8FF"/>
      <rgbColor rgb="FFFCD34D"/>
      <rgbColor rgb="FF3B82F6"/>
      <rgbColor rgb="FF33CCCC"/>
      <rgbColor rgb="FF99CC00"/>
      <rgbColor rgb="FFFFCC00"/>
      <rgbColor rgb="FFF59E0B"/>
      <rgbColor rgb="FFEF4444"/>
      <rgbColor rgb="FFA855F7"/>
      <rgbColor rgb="FF9CA3AF"/>
      <rgbColor rgb="FF003366"/>
      <rgbColor rgb="FF22C55E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5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16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6" t="s">
        <v>9</v>
      </c>
      <c r="I4" s="7" t="s">
        <v>10</v>
      </c>
      <c r="J4" s="8" t="s">
        <v>11</v>
      </c>
      <c r="K4" s="4" t="s">
        <v>12</v>
      </c>
    </row>
    <row r="5" customFormat="false" ht="15" hidden="false" customHeight="true" outlineLevel="0" collapsed="false">
      <c r="A5" s="9" t="n">
        <v>1</v>
      </c>
      <c r="B5" s="10" t="s">
        <v>13</v>
      </c>
      <c r="C5" s="9" t="s">
        <v>14</v>
      </c>
      <c r="D5" s="11" t="n">
        <v>50</v>
      </c>
      <c r="E5" s="12" t="s">
        <v>15</v>
      </c>
      <c r="F5" s="11" t="s">
        <v>16</v>
      </c>
      <c r="G5" s="13" t="n">
        <v>35</v>
      </c>
      <c r="H5" s="12" t="n">
        <v>30</v>
      </c>
      <c r="I5" s="14" t="n">
        <v>22</v>
      </c>
      <c r="J5" s="15" t="s">
        <v>17</v>
      </c>
      <c r="K5" s="16"/>
    </row>
    <row r="6" customFormat="false" ht="15" hidden="false" customHeight="true" outlineLevel="0" collapsed="false">
      <c r="A6" s="9" t="n">
        <v>2</v>
      </c>
      <c r="B6" s="10" t="s">
        <v>18</v>
      </c>
      <c r="C6" s="9" t="s">
        <v>19</v>
      </c>
      <c r="D6" s="11" t="n">
        <v>45</v>
      </c>
      <c r="E6" s="12" t="s">
        <v>15</v>
      </c>
      <c r="F6" s="11" t="s">
        <v>16</v>
      </c>
      <c r="G6" s="13" t="n">
        <v>40</v>
      </c>
      <c r="H6" s="12" t="n">
        <v>35</v>
      </c>
      <c r="I6" s="15" t="s">
        <v>17</v>
      </c>
      <c r="J6" s="17" t="n">
        <v>28</v>
      </c>
      <c r="K6" s="16"/>
    </row>
    <row r="7" customFormat="false" ht="15" hidden="false" customHeight="true" outlineLevel="0" collapsed="false">
      <c r="A7" s="18" t="n">
        <v>3</v>
      </c>
      <c r="B7" s="19" t="s">
        <v>20</v>
      </c>
      <c r="C7" s="18" t="s">
        <v>21</v>
      </c>
      <c r="D7" s="20" t="n">
        <v>40</v>
      </c>
      <c r="E7" s="21" t="s">
        <v>15</v>
      </c>
      <c r="F7" s="20"/>
      <c r="G7" s="22" t="n">
        <v>18</v>
      </c>
      <c r="H7" s="21" t="n">
        <v>14</v>
      </c>
      <c r="I7" s="23" t="s">
        <v>17</v>
      </c>
      <c r="J7" s="23" t="s">
        <v>17</v>
      </c>
      <c r="K7" s="24"/>
    </row>
    <row r="8" customFormat="false" ht="15" hidden="false" customHeight="true" outlineLevel="0" collapsed="false">
      <c r="A8" s="9" t="n">
        <v>4</v>
      </c>
      <c r="B8" s="10" t="s">
        <v>22</v>
      </c>
      <c r="C8" s="9" t="s">
        <v>23</v>
      </c>
      <c r="D8" s="11" t="n">
        <v>50</v>
      </c>
      <c r="E8" s="12" t="s">
        <v>15</v>
      </c>
      <c r="F8" s="11" t="s">
        <v>16</v>
      </c>
      <c r="G8" s="13" t="n">
        <v>42</v>
      </c>
      <c r="H8" s="12" t="n">
        <v>38</v>
      </c>
      <c r="I8" s="14" t="n">
        <v>30</v>
      </c>
      <c r="J8" s="17" t="n">
        <v>25</v>
      </c>
      <c r="K8" s="16"/>
    </row>
    <row r="9" customFormat="false" ht="15" hidden="false" customHeight="true" outlineLevel="0" collapsed="false">
      <c r="A9" s="9" t="n">
        <v>5</v>
      </c>
      <c r="B9" s="10" t="s">
        <v>24</v>
      </c>
      <c r="C9" s="9" t="s">
        <v>25</v>
      </c>
      <c r="D9" s="11" t="n">
        <v>50</v>
      </c>
      <c r="E9" s="12" t="s">
        <v>15</v>
      </c>
      <c r="F9" s="11" t="s">
        <v>16</v>
      </c>
      <c r="G9" s="13" t="n">
        <v>45</v>
      </c>
      <c r="H9" s="12" t="n">
        <v>40</v>
      </c>
      <c r="I9" s="14" t="n">
        <v>32</v>
      </c>
      <c r="J9" s="17" t="n">
        <v>28</v>
      </c>
      <c r="K9" s="16"/>
    </row>
    <row r="10" customFormat="false" ht="15" hidden="false" customHeight="true" outlineLevel="0" collapsed="false">
      <c r="A10" s="25" t="n">
        <v>6</v>
      </c>
      <c r="B10" s="26" t="s">
        <v>26</v>
      </c>
      <c r="C10" s="25" t="s">
        <v>14</v>
      </c>
      <c r="D10" s="27" t="n">
        <v>45</v>
      </c>
      <c r="E10" s="28" t="s">
        <v>15</v>
      </c>
      <c r="F10" s="27"/>
      <c r="G10" s="29" t="n">
        <v>20</v>
      </c>
      <c r="H10" s="30" t="s">
        <v>17</v>
      </c>
      <c r="I10" s="30" t="s">
        <v>17</v>
      </c>
      <c r="J10" s="30" t="s">
        <v>17</v>
      </c>
      <c r="K10" s="31"/>
    </row>
    <row r="11" customFormat="false" ht="15" hidden="false" customHeight="true" outlineLevel="0" collapsed="false">
      <c r="A11" s="18" t="n">
        <v>7</v>
      </c>
      <c r="B11" s="19" t="s">
        <v>27</v>
      </c>
      <c r="C11" s="18" t="s">
        <v>28</v>
      </c>
      <c r="D11" s="20" t="n">
        <v>40</v>
      </c>
      <c r="E11" s="21" t="s">
        <v>15</v>
      </c>
      <c r="F11" s="20"/>
      <c r="G11" s="22" t="n">
        <v>15</v>
      </c>
      <c r="H11" s="23" t="s">
        <v>17</v>
      </c>
      <c r="I11" s="23" t="s">
        <v>17</v>
      </c>
      <c r="J11" s="23" t="s">
        <v>17</v>
      </c>
      <c r="K11" s="24"/>
    </row>
    <row r="12" customFormat="false" ht="15" hidden="false" customHeight="true" outlineLevel="0" collapsed="false">
      <c r="A12" s="25" t="n">
        <v>8</v>
      </c>
      <c r="B12" s="26" t="s">
        <v>29</v>
      </c>
      <c r="C12" s="25" t="s">
        <v>30</v>
      </c>
      <c r="D12" s="27" t="n">
        <v>50</v>
      </c>
      <c r="E12" s="28" t="s">
        <v>15</v>
      </c>
      <c r="F12" s="27"/>
      <c r="G12" s="29" t="n">
        <v>12</v>
      </c>
      <c r="H12" s="30" t="s">
        <v>17</v>
      </c>
      <c r="I12" s="30" t="s">
        <v>17</v>
      </c>
      <c r="J12" s="30" t="s">
        <v>17</v>
      </c>
      <c r="K12" s="31"/>
    </row>
    <row r="13" customFormat="false" ht="15" hidden="false" customHeight="true" outlineLevel="0" collapsed="false">
      <c r="A13" s="18" t="n">
        <v>9</v>
      </c>
      <c r="B13" s="19" t="s">
        <v>31</v>
      </c>
      <c r="C13" s="18" t="s">
        <v>14</v>
      </c>
      <c r="D13" s="20" t="n">
        <v>40</v>
      </c>
      <c r="E13" s="32" t="s">
        <v>32</v>
      </c>
      <c r="F13" s="20"/>
      <c r="G13" s="33" t="s">
        <v>33</v>
      </c>
      <c r="H13" s="33" t="s">
        <v>33</v>
      </c>
      <c r="I13" s="33" t="s">
        <v>33</v>
      </c>
      <c r="J13" s="23" t="s">
        <v>17</v>
      </c>
      <c r="K13" s="24"/>
    </row>
    <row r="14" customFormat="false" ht="15" hidden="false" customHeight="true" outlineLevel="0" collapsed="false">
      <c r="A14" s="25" t="n">
        <v>10</v>
      </c>
      <c r="B14" s="26" t="s">
        <v>34</v>
      </c>
      <c r="C14" s="25" t="s">
        <v>35</v>
      </c>
      <c r="D14" s="27" t="n">
        <v>45</v>
      </c>
      <c r="E14" s="34" t="s">
        <v>32</v>
      </c>
      <c r="F14" s="27"/>
      <c r="G14" s="35" t="s">
        <v>33</v>
      </c>
      <c r="H14" s="35" t="s">
        <v>33</v>
      </c>
      <c r="I14" s="30" t="s">
        <v>17</v>
      </c>
      <c r="J14" s="30" t="s">
        <v>17</v>
      </c>
      <c r="K14" s="31"/>
    </row>
    <row r="15" customFormat="false" ht="15" hidden="false" customHeight="true" outlineLevel="0" collapsed="false">
      <c r="A15" s="18" t="n">
        <v>11</v>
      </c>
      <c r="B15" s="19" t="s">
        <v>36</v>
      </c>
      <c r="C15" s="18" t="s">
        <v>37</v>
      </c>
      <c r="D15" s="20" t="n">
        <v>35</v>
      </c>
      <c r="E15" s="32" t="s">
        <v>32</v>
      </c>
      <c r="F15" s="20"/>
      <c r="G15" s="33" t="s">
        <v>33</v>
      </c>
      <c r="H15" s="33" t="s">
        <v>33</v>
      </c>
      <c r="I15" s="23" t="s">
        <v>17</v>
      </c>
      <c r="J15" s="23" t="s">
        <v>17</v>
      </c>
      <c r="K15" s="24"/>
    </row>
    <row r="16" customFormat="false" ht="15" hidden="false" customHeight="true" outlineLevel="0" collapsed="false">
      <c r="A16" s="25" t="n">
        <v>12</v>
      </c>
      <c r="B16" s="26" t="s">
        <v>38</v>
      </c>
      <c r="C16" s="25" t="s">
        <v>39</v>
      </c>
      <c r="D16" s="27" t="n">
        <v>40</v>
      </c>
      <c r="E16" s="29" t="s">
        <v>40</v>
      </c>
      <c r="F16" s="27"/>
      <c r="G16" s="35" t="s">
        <v>33</v>
      </c>
      <c r="H16" s="30" t="s">
        <v>17</v>
      </c>
      <c r="I16" s="30" t="s">
        <v>17</v>
      </c>
      <c r="J16" s="30" t="s">
        <v>17</v>
      </c>
      <c r="K16" s="31"/>
    </row>
    <row r="17" customFormat="false" ht="15" hidden="false" customHeight="true" outlineLevel="0" collapsed="false">
      <c r="A17" s="18" t="n">
        <v>13</v>
      </c>
      <c r="B17" s="19" t="s">
        <v>41</v>
      </c>
      <c r="C17" s="18" t="s">
        <v>42</v>
      </c>
      <c r="D17" s="20" t="n">
        <v>45</v>
      </c>
      <c r="E17" s="22" t="s">
        <v>40</v>
      </c>
      <c r="F17" s="20"/>
      <c r="G17" s="33" t="s">
        <v>33</v>
      </c>
      <c r="H17" s="23" t="s">
        <v>17</v>
      </c>
      <c r="I17" s="23" t="s">
        <v>17</v>
      </c>
      <c r="J17" s="23" t="s">
        <v>17</v>
      </c>
      <c r="K17" s="24"/>
    </row>
    <row r="18" customFormat="false" ht="15" hidden="false" customHeight="true" outlineLevel="0" collapsed="false">
      <c r="A18" s="25" t="n">
        <v>14</v>
      </c>
      <c r="B18" s="26" t="s">
        <v>43</v>
      </c>
      <c r="C18" s="25" t="s">
        <v>35</v>
      </c>
      <c r="D18" s="27" t="n">
        <v>40</v>
      </c>
      <c r="E18" s="34" t="s">
        <v>32</v>
      </c>
      <c r="F18" s="27"/>
      <c r="G18" s="35" t="s">
        <v>33</v>
      </c>
      <c r="H18" s="35" t="s">
        <v>33</v>
      </c>
      <c r="I18" s="30" t="s">
        <v>17</v>
      </c>
      <c r="J18" s="30" t="s">
        <v>17</v>
      </c>
      <c r="K18" s="31"/>
    </row>
    <row r="19" customFormat="false" ht="15" hidden="false" customHeight="true" outlineLevel="0" collapsed="false">
      <c r="A19" s="18" t="n">
        <v>15</v>
      </c>
      <c r="B19" s="19" t="s">
        <v>44</v>
      </c>
      <c r="C19" s="18" t="s">
        <v>45</v>
      </c>
      <c r="D19" s="20" t="n">
        <v>45</v>
      </c>
      <c r="E19" s="32" t="s">
        <v>32</v>
      </c>
      <c r="F19" s="20"/>
      <c r="G19" s="33" t="s">
        <v>33</v>
      </c>
      <c r="H19" s="23" t="s">
        <v>17</v>
      </c>
      <c r="I19" s="23" t="s">
        <v>17</v>
      </c>
      <c r="J19" s="23" t="s">
        <v>17</v>
      </c>
      <c r="K19" s="24"/>
    </row>
    <row r="20" customFormat="false" ht="15" hidden="false" customHeight="true" outlineLevel="0" collapsed="false">
      <c r="A20" s="25" t="n">
        <v>16</v>
      </c>
      <c r="B20" s="26" t="s">
        <v>46</v>
      </c>
      <c r="C20" s="25" t="s">
        <v>19</v>
      </c>
      <c r="D20" s="27" t="n">
        <v>50</v>
      </c>
      <c r="E20" s="29" t="s">
        <v>40</v>
      </c>
      <c r="F20" s="27"/>
      <c r="G20" s="35" t="s">
        <v>33</v>
      </c>
      <c r="H20" s="30" t="s">
        <v>17</v>
      </c>
      <c r="I20" s="30" t="s">
        <v>17</v>
      </c>
      <c r="J20" s="30" t="s">
        <v>17</v>
      </c>
      <c r="K20" s="31"/>
    </row>
    <row r="21" customFormat="false" ht="15" hidden="false" customHeight="true" outlineLevel="0" collapsed="false">
      <c r="A21" s="18" t="n">
        <v>17</v>
      </c>
      <c r="B21" s="19" t="s">
        <v>47</v>
      </c>
      <c r="C21" s="18" t="s">
        <v>37</v>
      </c>
      <c r="D21" s="20" t="n">
        <v>35</v>
      </c>
      <c r="E21" s="36" t="s">
        <v>33</v>
      </c>
      <c r="F21" s="20"/>
      <c r="G21" s="33" t="s">
        <v>33</v>
      </c>
      <c r="H21" s="23" t="s">
        <v>17</v>
      </c>
      <c r="I21" s="23" t="s">
        <v>17</v>
      </c>
      <c r="J21" s="23" t="s">
        <v>17</v>
      </c>
      <c r="K21" s="24"/>
    </row>
    <row r="22" customFormat="false" ht="15" hidden="false" customHeight="true" outlineLevel="0" collapsed="false">
      <c r="A22" s="25" t="n">
        <v>18</v>
      </c>
      <c r="B22" s="26" t="s">
        <v>48</v>
      </c>
      <c r="C22" s="25" t="s">
        <v>49</v>
      </c>
      <c r="D22" s="27" t="n">
        <v>40</v>
      </c>
      <c r="E22" s="34" t="s">
        <v>32</v>
      </c>
      <c r="F22" s="27"/>
      <c r="G22" s="35" t="s">
        <v>33</v>
      </c>
      <c r="H22" s="35" t="s">
        <v>33</v>
      </c>
      <c r="I22" s="30" t="s">
        <v>17</v>
      </c>
      <c r="J22" s="30" t="s">
        <v>17</v>
      </c>
      <c r="K22" s="31"/>
    </row>
    <row r="23" customFormat="false" ht="15" hidden="false" customHeight="true" outlineLevel="0" collapsed="false">
      <c r="A23" s="18" t="n">
        <v>19</v>
      </c>
      <c r="B23" s="19" t="s">
        <v>50</v>
      </c>
      <c r="C23" s="18" t="s">
        <v>51</v>
      </c>
      <c r="D23" s="20" t="n">
        <v>45</v>
      </c>
      <c r="E23" s="22" t="s">
        <v>40</v>
      </c>
      <c r="F23" s="20"/>
      <c r="G23" s="33" t="s">
        <v>33</v>
      </c>
      <c r="H23" s="23" t="s">
        <v>17</v>
      </c>
      <c r="I23" s="23" t="s">
        <v>17</v>
      </c>
      <c r="J23" s="23" t="s">
        <v>17</v>
      </c>
      <c r="K23" s="24"/>
    </row>
    <row r="24" customFormat="false" ht="15" hidden="false" customHeight="true" outlineLevel="0" collapsed="false">
      <c r="A24" s="25" t="n">
        <v>20</v>
      </c>
      <c r="B24" s="26" t="s">
        <v>52</v>
      </c>
      <c r="C24" s="25" t="s">
        <v>49</v>
      </c>
      <c r="D24" s="27" t="n">
        <v>40</v>
      </c>
      <c r="E24" s="37" t="s">
        <v>33</v>
      </c>
      <c r="F24" s="27"/>
      <c r="G24" s="35" t="s">
        <v>33</v>
      </c>
      <c r="H24" s="30" t="s">
        <v>17</v>
      </c>
      <c r="I24" s="30" t="s">
        <v>17</v>
      </c>
      <c r="J24" s="30" t="s">
        <v>17</v>
      </c>
      <c r="K24" s="31"/>
    </row>
    <row r="25" customFormat="false" ht="15" hidden="false" customHeight="true" outlineLevel="0" collapsed="false">
      <c r="A25" s="18" t="n">
        <v>21</v>
      </c>
      <c r="B25" s="19" t="s">
        <v>53</v>
      </c>
      <c r="C25" s="18" t="s">
        <v>35</v>
      </c>
      <c r="D25" s="20" t="n">
        <v>35</v>
      </c>
      <c r="E25" s="36" t="s">
        <v>33</v>
      </c>
      <c r="F25" s="20"/>
      <c r="G25" s="33" t="s">
        <v>33</v>
      </c>
      <c r="H25" s="23" t="s">
        <v>17</v>
      </c>
      <c r="I25" s="23" t="s">
        <v>17</v>
      </c>
      <c r="J25" s="23" t="s">
        <v>17</v>
      </c>
      <c r="K25" s="24"/>
    </row>
    <row r="26" customFormat="false" ht="15" hidden="false" customHeight="true" outlineLevel="0" collapsed="false">
      <c r="A26" s="25" t="n">
        <v>22</v>
      </c>
      <c r="B26" s="26" t="s">
        <v>54</v>
      </c>
      <c r="C26" s="25" t="s">
        <v>55</v>
      </c>
      <c r="D26" s="27" t="n">
        <v>30</v>
      </c>
      <c r="E26" s="34" t="s">
        <v>32</v>
      </c>
      <c r="F26" s="27"/>
      <c r="G26" s="35" t="s">
        <v>33</v>
      </c>
      <c r="H26" s="30" t="s">
        <v>17</v>
      </c>
      <c r="I26" s="30" t="s">
        <v>17</v>
      </c>
      <c r="J26" s="30" t="s">
        <v>17</v>
      </c>
      <c r="K26" s="31"/>
    </row>
    <row r="27" customFormat="false" ht="15" hidden="false" customHeight="true" outlineLevel="0" collapsed="false">
      <c r="A27" s="18" t="n">
        <v>23</v>
      </c>
      <c r="B27" s="19" t="s">
        <v>56</v>
      </c>
      <c r="C27" s="18" t="s">
        <v>14</v>
      </c>
      <c r="D27" s="20" t="n">
        <v>45</v>
      </c>
      <c r="E27" s="22" t="s">
        <v>40</v>
      </c>
      <c r="F27" s="20"/>
      <c r="G27" s="33" t="s">
        <v>33</v>
      </c>
      <c r="H27" s="23" t="s">
        <v>17</v>
      </c>
      <c r="I27" s="23" t="s">
        <v>17</v>
      </c>
      <c r="J27" s="23" t="s">
        <v>17</v>
      </c>
      <c r="K27" s="24"/>
    </row>
    <row r="28" customFormat="false" ht="15" hidden="false" customHeight="true" outlineLevel="0" collapsed="false">
      <c r="A28" s="25" t="n">
        <v>24</v>
      </c>
      <c r="B28" s="26" t="s">
        <v>57</v>
      </c>
      <c r="C28" s="25" t="s">
        <v>58</v>
      </c>
      <c r="D28" s="27" t="n">
        <v>35</v>
      </c>
      <c r="E28" s="38" t="s">
        <v>59</v>
      </c>
      <c r="F28" s="27"/>
      <c r="G28" s="29" t="n">
        <v>35</v>
      </c>
      <c r="H28" s="28" t="n">
        <v>35</v>
      </c>
      <c r="I28" s="30" t="s">
        <v>17</v>
      </c>
      <c r="J28" s="30" t="s">
        <v>17</v>
      </c>
      <c r="K28" s="31"/>
    </row>
    <row r="29" customFormat="false" ht="15" hidden="false" customHeight="true" outlineLevel="0" collapsed="false">
      <c r="A29" s="18" t="n">
        <v>25</v>
      </c>
      <c r="B29" s="19" t="s">
        <v>60</v>
      </c>
      <c r="C29" s="18" t="s">
        <v>35</v>
      </c>
      <c r="D29" s="20" t="n">
        <v>40</v>
      </c>
      <c r="E29" s="39" t="s">
        <v>61</v>
      </c>
      <c r="F29" s="20"/>
      <c r="G29" s="22" t="n">
        <v>18</v>
      </c>
      <c r="H29" s="21" t="n">
        <v>14</v>
      </c>
      <c r="I29" s="23" t="s">
        <v>17</v>
      </c>
      <c r="J29" s="23" t="s">
        <v>17</v>
      </c>
      <c r="K29" s="24"/>
    </row>
    <row r="30" customFormat="false" ht="15" hidden="false" customHeight="true" outlineLevel="0" collapsed="false">
      <c r="A30" s="25" t="n">
        <v>26</v>
      </c>
      <c r="B30" s="26" t="s">
        <v>62</v>
      </c>
      <c r="C30" s="25" t="s">
        <v>37</v>
      </c>
      <c r="D30" s="27" t="n">
        <v>40</v>
      </c>
      <c r="E30" s="34" t="s">
        <v>32</v>
      </c>
      <c r="F30" s="27"/>
      <c r="G30" s="35" t="s">
        <v>33</v>
      </c>
      <c r="H30" s="30" t="s">
        <v>17</v>
      </c>
      <c r="I30" s="30" t="s">
        <v>17</v>
      </c>
      <c r="J30" s="30" t="s">
        <v>17</v>
      </c>
      <c r="K30" s="31"/>
    </row>
    <row r="31" customFormat="false" ht="15" hidden="false" customHeight="true" outlineLevel="0" collapsed="false">
      <c r="A31" s="18" t="n">
        <v>27</v>
      </c>
      <c r="B31" s="19" t="s">
        <v>63</v>
      </c>
      <c r="C31" s="18" t="s">
        <v>37</v>
      </c>
      <c r="D31" s="20" t="n">
        <v>35</v>
      </c>
      <c r="E31" s="32" t="s">
        <v>32</v>
      </c>
      <c r="F31" s="20"/>
      <c r="G31" s="33" t="s">
        <v>33</v>
      </c>
      <c r="H31" s="23" t="s">
        <v>17</v>
      </c>
      <c r="I31" s="23" t="s">
        <v>17</v>
      </c>
      <c r="J31" s="23" t="s">
        <v>17</v>
      </c>
      <c r="K31" s="24"/>
    </row>
    <row r="32" customFormat="false" ht="15" hidden="false" customHeight="true" outlineLevel="0" collapsed="false">
      <c r="A32" s="25" t="n">
        <v>28</v>
      </c>
      <c r="B32" s="26" t="s">
        <v>64</v>
      </c>
      <c r="C32" s="25" t="s">
        <v>35</v>
      </c>
      <c r="D32" s="27" t="n">
        <v>45</v>
      </c>
      <c r="E32" s="29" t="s">
        <v>40</v>
      </c>
      <c r="F32" s="27"/>
      <c r="G32" s="35" t="s">
        <v>33</v>
      </c>
      <c r="H32" s="30" t="s">
        <v>17</v>
      </c>
      <c r="I32" s="30" t="s">
        <v>17</v>
      </c>
      <c r="J32" s="30" t="s">
        <v>17</v>
      </c>
      <c r="K32" s="31"/>
    </row>
    <row r="33" customFormat="false" ht="15" hidden="false" customHeight="true" outlineLevel="0" collapsed="false">
      <c r="A33" s="18" t="n">
        <v>29</v>
      </c>
      <c r="B33" s="19" t="s">
        <v>65</v>
      </c>
      <c r="C33" s="18" t="s">
        <v>51</v>
      </c>
      <c r="D33" s="20" t="n">
        <v>50</v>
      </c>
      <c r="E33" s="22" t="s">
        <v>40</v>
      </c>
      <c r="F33" s="20"/>
      <c r="G33" s="33" t="s">
        <v>33</v>
      </c>
      <c r="H33" s="23" t="s">
        <v>17</v>
      </c>
      <c r="I33" s="23" t="s">
        <v>17</v>
      </c>
      <c r="J33" s="23" t="s">
        <v>17</v>
      </c>
      <c r="K33" s="24"/>
    </row>
    <row r="34" customFormat="false" ht="15" hidden="false" customHeight="true" outlineLevel="0" collapsed="false">
      <c r="A34" s="25" t="n">
        <v>30</v>
      </c>
      <c r="B34" s="26" t="s">
        <v>66</v>
      </c>
      <c r="C34" s="25" t="s">
        <v>19</v>
      </c>
      <c r="D34" s="27" t="n">
        <v>40</v>
      </c>
      <c r="E34" s="37" t="s">
        <v>33</v>
      </c>
      <c r="F34" s="27"/>
      <c r="G34" s="35" t="s">
        <v>33</v>
      </c>
      <c r="H34" s="30" t="s">
        <v>17</v>
      </c>
      <c r="I34" s="30" t="s">
        <v>17</v>
      </c>
      <c r="J34" s="30" t="s">
        <v>17</v>
      </c>
      <c r="K34" s="31"/>
    </row>
    <row r="35" customFormat="false" ht="15" hidden="false" customHeight="true" outlineLevel="0" collapsed="false">
      <c r="A35" s="18" t="n">
        <v>31</v>
      </c>
      <c r="B35" s="19" t="s">
        <v>67</v>
      </c>
      <c r="C35" s="18" t="s">
        <v>19</v>
      </c>
      <c r="D35" s="20" t="n">
        <v>45</v>
      </c>
      <c r="E35" s="32" t="s">
        <v>32</v>
      </c>
      <c r="F35" s="20"/>
      <c r="G35" s="33" t="s">
        <v>33</v>
      </c>
      <c r="H35" s="23" t="s">
        <v>17</v>
      </c>
      <c r="I35" s="23" t="s">
        <v>17</v>
      </c>
      <c r="J35" s="23" t="s">
        <v>17</v>
      </c>
      <c r="K35" s="24"/>
    </row>
    <row r="36" customFormat="false" ht="15" hidden="false" customHeight="true" outlineLevel="0" collapsed="false">
      <c r="A36" s="25" t="n">
        <v>32</v>
      </c>
      <c r="B36" s="26" t="s">
        <v>68</v>
      </c>
      <c r="C36" s="25" t="s">
        <v>51</v>
      </c>
      <c r="D36" s="27" t="n">
        <v>40</v>
      </c>
      <c r="E36" s="34" t="s">
        <v>32</v>
      </c>
      <c r="F36" s="27"/>
      <c r="G36" s="35" t="s">
        <v>33</v>
      </c>
      <c r="H36" s="30" t="s">
        <v>17</v>
      </c>
      <c r="I36" s="30" t="s">
        <v>17</v>
      </c>
      <c r="J36" s="30" t="s">
        <v>17</v>
      </c>
      <c r="K36" s="31"/>
    </row>
    <row r="37" customFormat="false" ht="15" hidden="false" customHeight="true" outlineLevel="0" collapsed="false">
      <c r="A37" s="18" t="n">
        <v>33</v>
      </c>
      <c r="B37" s="19" t="s">
        <v>69</v>
      </c>
      <c r="C37" s="18" t="s">
        <v>14</v>
      </c>
      <c r="D37" s="20" t="n">
        <v>45</v>
      </c>
      <c r="E37" s="22" t="s">
        <v>40</v>
      </c>
      <c r="F37" s="20"/>
      <c r="G37" s="33" t="s">
        <v>33</v>
      </c>
      <c r="H37" s="23" t="s">
        <v>17</v>
      </c>
      <c r="I37" s="23" t="s">
        <v>17</v>
      </c>
      <c r="J37" s="23" t="s">
        <v>17</v>
      </c>
      <c r="K37" s="24"/>
    </row>
    <row r="38" customFormat="false" ht="15" hidden="false" customHeight="true" outlineLevel="0" collapsed="false">
      <c r="A38" s="25" t="n">
        <v>34</v>
      </c>
      <c r="B38" s="26" t="s">
        <v>70</v>
      </c>
      <c r="C38" s="25" t="s">
        <v>35</v>
      </c>
      <c r="D38" s="27" t="n">
        <v>40</v>
      </c>
      <c r="E38" s="37" t="s">
        <v>33</v>
      </c>
      <c r="F38" s="27"/>
      <c r="G38" s="35" t="s">
        <v>33</v>
      </c>
      <c r="H38" s="30" t="s">
        <v>17</v>
      </c>
      <c r="I38" s="30" t="s">
        <v>17</v>
      </c>
      <c r="J38" s="30" t="s">
        <v>17</v>
      </c>
      <c r="K38" s="31"/>
    </row>
    <row r="39" customFormat="false" ht="15" hidden="false" customHeight="true" outlineLevel="0" collapsed="false">
      <c r="A39" s="18" t="n">
        <v>35</v>
      </c>
      <c r="B39" s="19" t="s">
        <v>71</v>
      </c>
      <c r="C39" s="18" t="s">
        <v>37</v>
      </c>
      <c r="D39" s="20" t="n">
        <v>35</v>
      </c>
      <c r="E39" s="32" t="s">
        <v>32</v>
      </c>
      <c r="F39" s="20"/>
      <c r="G39" s="33" t="s">
        <v>33</v>
      </c>
      <c r="H39" s="23" t="s">
        <v>17</v>
      </c>
      <c r="I39" s="23" t="s">
        <v>17</v>
      </c>
      <c r="J39" s="23" t="s">
        <v>17</v>
      </c>
      <c r="K39" s="24"/>
    </row>
    <row r="40" customFormat="false" ht="15" hidden="false" customHeight="true" outlineLevel="0" collapsed="false">
      <c r="A40" s="25" t="n">
        <v>36</v>
      </c>
      <c r="B40" s="26" t="s">
        <v>72</v>
      </c>
      <c r="C40" s="25" t="s">
        <v>35</v>
      </c>
      <c r="D40" s="27" t="n">
        <v>40</v>
      </c>
      <c r="E40" s="29" t="s">
        <v>40</v>
      </c>
      <c r="F40" s="27"/>
      <c r="G40" s="35" t="s">
        <v>33</v>
      </c>
      <c r="H40" s="30" t="s">
        <v>17</v>
      </c>
      <c r="I40" s="30" t="s">
        <v>17</v>
      </c>
      <c r="J40" s="30" t="s">
        <v>17</v>
      </c>
      <c r="K40" s="31"/>
    </row>
    <row r="41" customFormat="false" ht="15" hidden="false" customHeight="true" outlineLevel="0" collapsed="false">
      <c r="A41" s="18" t="n">
        <v>37</v>
      </c>
      <c r="B41" s="19" t="s">
        <v>73</v>
      </c>
      <c r="C41" s="18" t="s">
        <v>51</v>
      </c>
      <c r="D41" s="20" t="n">
        <v>50</v>
      </c>
      <c r="E41" s="22" t="s">
        <v>40</v>
      </c>
      <c r="F41" s="20"/>
      <c r="G41" s="33" t="s">
        <v>33</v>
      </c>
      <c r="H41" s="23" t="s">
        <v>17</v>
      </c>
      <c r="I41" s="23" t="s">
        <v>17</v>
      </c>
      <c r="J41" s="23" t="s">
        <v>17</v>
      </c>
      <c r="K41" s="24"/>
    </row>
    <row r="42" customFormat="false" ht="15" hidden="false" customHeight="true" outlineLevel="0" collapsed="false">
      <c r="A42" s="25" t="n">
        <v>38</v>
      </c>
      <c r="B42" s="26" t="s">
        <v>74</v>
      </c>
      <c r="C42" s="25" t="s">
        <v>37</v>
      </c>
      <c r="D42" s="27" t="n">
        <v>35</v>
      </c>
      <c r="E42" s="34" t="s">
        <v>32</v>
      </c>
      <c r="F42" s="27"/>
      <c r="G42" s="35" t="s">
        <v>33</v>
      </c>
      <c r="H42" s="30" t="s">
        <v>17</v>
      </c>
      <c r="I42" s="30" t="s">
        <v>17</v>
      </c>
      <c r="J42" s="30" t="s">
        <v>17</v>
      </c>
      <c r="K42" s="31"/>
    </row>
    <row r="43" customFormat="false" ht="15" hidden="false" customHeight="true" outlineLevel="0" collapsed="false">
      <c r="A43" s="18" t="n">
        <v>39</v>
      </c>
      <c r="B43" s="19" t="s">
        <v>75</v>
      </c>
      <c r="C43" s="18" t="s">
        <v>49</v>
      </c>
      <c r="D43" s="20" t="n">
        <v>40</v>
      </c>
      <c r="E43" s="32" t="s">
        <v>32</v>
      </c>
      <c r="F43" s="20"/>
      <c r="G43" s="33" t="s">
        <v>33</v>
      </c>
      <c r="H43" s="23" t="s">
        <v>17</v>
      </c>
      <c r="I43" s="23" t="s">
        <v>17</v>
      </c>
      <c r="J43" s="23" t="s">
        <v>17</v>
      </c>
      <c r="K43" s="24"/>
    </row>
    <row r="44" customFormat="false" ht="15" hidden="false" customHeight="true" outlineLevel="0" collapsed="false">
      <c r="A44" s="25" t="n">
        <v>40</v>
      </c>
      <c r="B44" s="26" t="s">
        <v>76</v>
      </c>
      <c r="C44" s="25" t="s">
        <v>58</v>
      </c>
      <c r="D44" s="27" t="n">
        <v>35</v>
      </c>
      <c r="E44" s="37" t="s">
        <v>33</v>
      </c>
      <c r="F44" s="27"/>
      <c r="G44" s="35" t="s">
        <v>33</v>
      </c>
      <c r="H44" s="30" t="s">
        <v>17</v>
      </c>
      <c r="I44" s="30" t="s">
        <v>17</v>
      </c>
      <c r="J44" s="30" t="s">
        <v>17</v>
      </c>
      <c r="K44" s="31"/>
    </row>
    <row r="45" customFormat="false" ht="15" hidden="false" customHeight="true" outlineLevel="0" collapsed="false">
      <c r="A45" s="18" t="n">
        <v>41</v>
      </c>
      <c r="B45" s="19" t="s">
        <v>77</v>
      </c>
      <c r="C45" s="18" t="s">
        <v>35</v>
      </c>
      <c r="D45" s="20" t="n">
        <v>45</v>
      </c>
      <c r="E45" s="32" t="s">
        <v>32</v>
      </c>
      <c r="F45" s="20"/>
      <c r="G45" s="33" t="s">
        <v>33</v>
      </c>
      <c r="H45" s="23" t="s">
        <v>17</v>
      </c>
      <c r="I45" s="23" t="s">
        <v>17</v>
      </c>
      <c r="J45" s="23" t="s">
        <v>17</v>
      </c>
      <c r="K45" s="24"/>
    </row>
    <row r="46" customFormat="false" ht="15" hidden="false" customHeight="true" outlineLevel="0" collapsed="false">
      <c r="A46" s="25" t="n">
        <v>42</v>
      </c>
      <c r="B46" s="26" t="s">
        <v>78</v>
      </c>
      <c r="C46" s="25" t="s">
        <v>21</v>
      </c>
      <c r="D46" s="27" t="n">
        <v>40</v>
      </c>
      <c r="E46" s="29" t="s">
        <v>40</v>
      </c>
      <c r="F46" s="27"/>
      <c r="G46" s="35" t="s">
        <v>33</v>
      </c>
      <c r="H46" s="30" t="s">
        <v>17</v>
      </c>
      <c r="I46" s="30" t="s">
        <v>17</v>
      </c>
      <c r="J46" s="30" t="s">
        <v>17</v>
      </c>
      <c r="K46" s="31"/>
    </row>
    <row r="47" customFormat="false" ht="15" hidden="false" customHeight="true" outlineLevel="0" collapsed="false">
      <c r="A47" s="18" t="n">
        <v>43</v>
      </c>
      <c r="B47" s="19" t="s">
        <v>79</v>
      </c>
      <c r="C47" s="18" t="s">
        <v>37</v>
      </c>
      <c r="D47" s="20" t="n">
        <v>35</v>
      </c>
      <c r="E47" s="32" t="s">
        <v>32</v>
      </c>
      <c r="F47" s="20"/>
      <c r="G47" s="33" t="s">
        <v>33</v>
      </c>
      <c r="H47" s="23" t="s">
        <v>17</v>
      </c>
      <c r="I47" s="23" t="s">
        <v>17</v>
      </c>
      <c r="J47" s="23" t="s">
        <v>17</v>
      </c>
      <c r="K47" s="24"/>
    </row>
    <row r="48" customFormat="false" ht="15" hidden="false" customHeight="true" outlineLevel="0" collapsed="false">
      <c r="A48" s="25" t="n">
        <v>44</v>
      </c>
      <c r="B48" s="26" t="s">
        <v>80</v>
      </c>
      <c r="C48" s="25" t="s">
        <v>19</v>
      </c>
      <c r="D48" s="27" t="n">
        <v>45</v>
      </c>
      <c r="E48" s="37" t="s">
        <v>33</v>
      </c>
      <c r="F48" s="27"/>
      <c r="G48" s="35" t="s">
        <v>33</v>
      </c>
      <c r="H48" s="30" t="s">
        <v>17</v>
      </c>
      <c r="I48" s="30" t="s">
        <v>17</v>
      </c>
      <c r="J48" s="30" t="s">
        <v>17</v>
      </c>
      <c r="K48" s="31"/>
    </row>
    <row r="49" customFormat="false" ht="15" hidden="false" customHeight="true" outlineLevel="0" collapsed="false">
      <c r="A49" s="18" t="n">
        <v>45</v>
      </c>
      <c r="B49" s="19" t="s">
        <v>81</v>
      </c>
      <c r="C49" s="18" t="s">
        <v>14</v>
      </c>
      <c r="D49" s="20" t="n">
        <v>40</v>
      </c>
      <c r="E49" s="32" t="s">
        <v>32</v>
      </c>
      <c r="F49" s="20"/>
      <c r="G49" s="33" t="s">
        <v>33</v>
      </c>
      <c r="H49" s="23" t="s">
        <v>17</v>
      </c>
      <c r="I49" s="23" t="s">
        <v>17</v>
      </c>
      <c r="J49" s="23" t="s">
        <v>17</v>
      </c>
      <c r="K49" s="24"/>
    </row>
    <row r="50" customFormat="false" ht="15" hidden="false" customHeight="true" outlineLevel="0" collapsed="false">
      <c r="A50" s="25" t="n">
        <v>46</v>
      </c>
      <c r="B50" s="26" t="s">
        <v>82</v>
      </c>
      <c r="C50" s="25" t="s">
        <v>51</v>
      </c>
      <c r="D50" s="27" t="n">
        <v>50</v>
      </c>
      <c r="E50" s="29" t="s">
        <v>40</v>
      </c>
      <c r="F50" s="27"/>
      <c r="G50" s="35" t="s">
        <v>33</v>
      </c>
      <c r="H50" s="30" t="s">
        <v>17</v>
      </c>
      <c r="I50" s="30" t="s">
        <v>17</v>
      </c>
      <c r="J50" s="30" t="s">
        <v>17</v>
      </c>
      <c r="K50" s="31"/>
    </row>
    <row r="51" customFormat="false" ht="15" hidden="false" customHeight="true" outlineLevel="0" collapsed="false">
      <c r="A51" s="18" t="n">
        <v>47</v>
      </c>
      <c r="B51" s="19" t="s">
        <v>83</v>
      </c>
      <c r="C51" s="18" t="s">
        <v>42</v>
      </c>
      <c r="D51" s="20" t="n">
        <v>40</v>
      </c>
      <c r="E51" s="32" t="s">
        <v>32</v>
      </c>
      <c r="F51" s="20"/>
      <c r="G51" s="33" t="s">
        <v>33</v>
      </c>
      <c r="H51" s="23" t="s">
        <v>17</v>
      </c>
      <c r="I51" s="23" t="s">
        <v>17</v>
      </c>
      <c r="J51" s="23" t="s">
        <v>17</v>
      </c>
      <c r="K51" s="24"/>
    </row>
    <row r="52" customFormat="false" ht="15" hidden="false" customHeight="true" outlineLevel="0" collapsed="false">
      <c r="A52" s="25" t="n">
        <v>48</v>
      </c>
      <c r="B52" s="26" t="s">
        <v>84</v>
      </c>
      <c r="C52" s="25" t="s">
        <v>14</v>
      </c>
      <c r="D52" s="27" t="n">
        <v>35</v>
      </c>
      <c r="E52" s="37" t="s">
        <v>33</v>
      </c>
      <c r="F52" s="27"/>
      <c r="G52" s="35" t="s">
        <v>33</v>
      </c>
      <c r="H52" s="30" t="s">
        <v>17</v>
      </c>
      <c r="I52" s="30" t="s">
        <v>17</v>
      </c>
      <c r="J52" s="30" t="s">
        <v>17</v>
      </c>
      <c r="K52" s="31"/>
    </row>
    <row r="53" customFormat="false" ht="15" hidden="false" customHeight="true" outlineLevel="0" collapsed="false">
      <c r="A53" s="18" t="n">
        <v>49</v>
      </c>
      <c r="B53" s="19" t="s">
        <v>85</v>
      </c>
      <c r="C53" s="18" t="s">
        <v>51</v>
      </c>
      <c r="D53" s="20" t="n">
        <v>50</v>
      </c>
      <c r="E53" s="22" t="s">
        <v>40</v>
      </c>
      <c r="F53" s="20"/>
      <c r="G53" s="33" t="s">
        <v>33</v>
      </c>
      <c r="H53" s="23" t="s">
        <v>17</v>
      </c>
      <c r="I53" s="23" t="s">
        <v>17</v>
      </c>
      <c r="J53" s="23" t="s">
        <v>17</v>
      </c>
      <c r="K53" s="24"/>
    </row>
    <row r="54" customFormat="false" ht="15" hidden="false" customHeight="true" outlineLevel="0" collapsed="false">
      <c r="A54" s="25" t="n">
        <v>50</v>
      </c>
      <c r="B54" s="26" t="s">
        <v>86</v>
      </c>
      <c r="C54" s="25" t="s">
        <v>37</v>
      </c>
      <c r="D54" s="27" t="n">
        <v>35</v>
      </c>
      <c r="E54" s="34" t="s">
        <v>32</v>
      </c>
      <c r="F54" s="27"/>
      <c r="G54" s="35" t="s">
        <v>33</v>
      </c>
      <c r="H54" s="30" t="s">
        <v>17</v>
      </c>
      <c r="I54" s="30" t="s">
        <v>17</v>
      </c>
      <c r="J54" s="30" t="s">
        <v>17</v>
      </c>
      <c r="K54" s="31"/>
    </row>
  </sheetData>
  <autoFilter ref="A4:K5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10" min="7" style="0" width="13"/>
    <col collapsed="false" customWidth="true" hidden="false" outlineLevel="0" max="11" min="11" style="0" width="16"/>
  </cols>
  <sheetData>
    <row r="1" customFormat="false" ht="18" hidden="false" customHeight="true" outlineLevel="0" collapsed="false">
      <c r="A1" s="2" t="s">
        <v>87</v>
      </c>
      <c r="B1" s="2"/>
      <c r="C1" s="2"/>
      <c r="D1" s="2"/>
      <c r="E1" s="2"/>
      <c r="F1" s="2"/>
    </row>
    <row r="2" customFormat="false" ht="12" hidden="false" customHeight="true" outlineLevel="0" collapsed="false">
      <c r="A2" s="3" t="s">
        <v>88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0" t="s">
        <v>89</v>
      </c>
      <c r="B4" s="41" t="s">
        <v>90</v>
      </c>
      <c r="C4" s="42" t="s">
        <v>91</v>
      </c>
      <c r="D4" s="43" t="s">
        <v>92</v>
      </c>
      <c r="E4" s="42" t="s">
        <v>7</v>
      </c>
      <c r="F4" s="44" t="s">
        <v>61</v>
      </c>
    </row>
    <row r="5" customFormat="false" ht="21.75" hidden="false" customHeight="true" outlineLevel="0" collapsed="false">
      <c r="A5" s="45" t="n">
        <v>12</v>
      </c>
      <c r="B5" s="46" t="n">
        <v>0</v>
      </c>
      <c r="C5" s="47" t="n">
        <v>12</v>
      </c>
      <c r="D5" s="48" t="n">
        <v>8</v>
      </c>
      <c r="E5" s="47" t="n">
        <v>4</v>
      </c>
      <c r="F5" s="49" t="n">
        <v>1</v>
      </c>
    </row>
    <row r="6" customFormat="false" ht="15" hidden="false" customHeight="true" outlineLevel="0" collapsed="false">
      <c r="A6" s="50" t="s">
        <v>93</v>
      </c>
      <c r="B6" s="50" t="s">
        <v>93</v>
      </c>
      <c r="C6" s="50" t="s">
        <v>93</v>
      </c>
      <c r="D6" s="50" t="s">
        <v>93</v>
      </c>
      <c r="E6" s="50" t="s">
        <v>93</v>
      </c>
      <c r="F6" s="50" t="s">
        <v>93</v>
      </c>
    </row>
    <row r="8" customFormat="false" ht="15" hidden="false" customHeight="true" outlineLevel="0" collapsed="false">
      <c r="A8" s="51" t="s">
        <v>94</v>
      </c>
      <c r="B8" s="51"/>
      <c r="C8" s="51"/>
      <c r="D8" s="51"/>
      <c r="E8" s="51"/>
      <c r="F8" s="51"/>
    </row>
    <row r="9" customFormat="false" ht="15" hidden="false" customHeight="true" outlineLevel="0" collapsed="false">
      <c r="A9" s="4" t="s">
        <v>95</v>
      </c>
      <c r="B9" s="4" t="s">
        <v>96</v>
      </c>
      <c r="C9" s="4" t="s">
        <v>97</v>
      </c>
      <c r="D9" s="4" t="s">
        <v>98</v>
      </c>
      <c r="E9" s="4" t="s">
        <v>6</v>
      </c>
      <c r="F9" s="4" t="s">
        <v>12</v>
      </c>
    </row>
    <row r="10" customFormat="false" ht="15" hidden="false" customHeight="true" outlineLevel="0" collapsed="false">
      <c r="A10" s="52" t="s">
        <v>99</v>
      </c>
      <c r="B10" s="53" t="s">
        <v>31</v>
      </c>
      <c r="C10" s="53" t="s">
        <v>34</v>
      </c>
      <c r="D10" s="53" t="s">
        <v>36</v>
      </c>
      <c r="E10" s="54" t="s">
        <v>100</v>
      </c>
      <c r="F10" s="53"/>
    </row>
    <row r="11" customFormat="false" ht="15" hidden="false" customHeight="true" outlineLevel="0" collapsed="false">
      <c r="A11" s="55" t="s">
        <v>101</v>
      </c>
      <c r="B11" s="24" t="s">
        <v>43</v>
      </c>
      <c r="C11" s="24" t="s">
        <v>44</v>
      </c>
      <c r="D11" s="24" t="s">
        <v>47</v>
      </c>
      <c r="E11" s="19" t="s">
        <v>102</v>
      </c>
      <c r="F11" s="24"/>
    </row>
    <row r="12" customFormat="false" ht="15" hidden="false" customHeight="true" outlineLevel="0" collapsed="false">
      <c r="A12" s="55" t="s">
        <v>103</v>
      </c>
      <c r="B12" s="24" t="s">
        <v>48</v>
      </c>
      <c r="C12" s="24" t="s">
        <v>52</v>
      </c>
      <c r="D12" s="24" t="s">
        <v>53</v>
      </c>
      <c r="E12" s="19" t="s">
        <v>102</v>
      </c>
      <c r="F12" s="24"/>
    </row>
    <row r="13" customFormat="false" ht="15" hidden="false" customHeight="true" outlineLevel="0" collapsed="false">
      <c r="A13" s="55" t="s">
        <v>104</v>
      </c>
      <c r="B13" s="24" t="s">
        <v>54</v>
      </c>
      <c r="C13" s="24" t="s">
        <v>62</v>
      </c>
      <c r="D13" s="24" t="s">
        <v>63</v>
      </c>
      <c r="E13" s="19" t="s">
        <v>102</v>
      </c>
      <c r="F13" s="24"/>
    </row>
    <row r="16" customFormat="false" ht="15" hidden="false" customHeight="true" outlineLevel="0" collapsed="false">
      <c r="A16" s="51" t="s">
        <v>105</v>
      </c>
      <c r="B16" s="51"/>
      <c r="C16" s="51"/>
      <c r="D16" s="51"/>
      <c r="E16" s="51"/>
      <c r="F16" s="51"/>
    </row>
    <row r="17" customFormat="false" ht="15" hidden="false" customHeight="true" outlineLevel="0" collapsed="false">
      <c r="A17" s="4" t="s">
        <v>6</v>
      </c>
      <c r="B17" s="4" t="s">
        <v>106</v>
      </c>
      <c r="C17" s="4" t="s">
        <v>107</v>
      </c>
    </row>
    <row r="18" customFormat="false" ht="15" hidden="false" customHeight="true" outlineLevel="0" collapsed="false">
      <c r="A18" s="56" t="s">
        <v>15</v>
      </c>
      <c r="B18" s="57" t="n">
        <v>8</v>
      </c>
      <c r="C18" s="58" t="s">
        <v>108</v>
      </c>
      <c r="D18" s="58"/>
      <c r="E18" s="58"/>
      <c r="F18" s="58"/>
    </row>
    <row r="19" customFormat="false" ht="15" hidden="false" customHeight="true" outlineLevel="0" collapsed="false">
      <c r="A19" s="59" t="s">
        <v>32</v>
      </c>
      <c r="B19" s="57" t="n">
        <v>19</v>
      </c>
      <c r="C19" s="58" t="s">
        <v>109</v>
      </c>
      <c r="D19" s="58"/>
      <c r="E19" s="58"/>
      <c r="F19" s="58"/>
    </row>
    <row r="20" customFormat="false" ht="15" hidden="false" customHeight="true" outlineLevel="0" collapsed="false">
      <c r="A20" s="60" t="s">
        <v>40</v>
      </c>
      <c r="B20" s="57" t="n">
        <v>13</v>
      </c>
      <c r="C20" s="58" t="s">
        <v>110</v>
      </c>
      <c r="D20" s="58"/>
      <c r="E20" s="58"/>
      <c r="F20" s="58"/>
    </row>
    <row r="21" customFormat="false" ht="15" hidden="false" customHeight="true" outlineLevel="0" collapsed="false">
      <c r="A21" s="61" t="s">
        <v>33</v>
      </c>
      <c r="B21" s="57" t="n">
        <v>8</v>
      </c>
      <c r="C21" s="58" t="s">
        <v>111</v>
      </c>
      <c r="D21" s="58"/>
      <c r="E21" s="58"/>
      <c r="F21" s="58"/>
    </row>
    <row r="22" customFormat="false" ht="15" hidden="false" customHeight="true" outlineLevel="0" collapsed="false">
      <c r="A22" s="62" t="s">
        <v>59</v>
      </c>
      <c r="B22" s="57" t="n">
        <v>1</v>
      </c>
      <c r="C22" s="58" t="s">
        <v>57</v>
      </c>
      <c r="D22" s="58"/>
      <c r="E22" s="58"/>
      <c r="F22" s="58"/>
    </row>
    <row r="23" customFormat="false" ht="15" hidden="false" customHeight="true" outlineLevel="0" collapsed="false">
      <c r="A23" s="63" t="s">
        <v>61</v>
      </c>
      <c r="B23" s="57" t="n">
        <v>1</v>
      </c>
      <c r="C23" s="58" t="s">
        <v>60</v>
      </c>
      <c r="D23" s="58"/>
      <c r="E23" s="58"/>
      <c r="F23" s="58"/>
    </row>
    <row r="26" customFormat="false" ht="15" hidden="false" customHeight="false" outlineLevel="0" collapsed="false">
      <c r="A26" s="64" t="s">
        <v>112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customFormat="false" ht="22.35" hidden="false" customHeight="false" outlineLevel="0" collapsed="false">
      <c r="A27" s="4" t="s">
        <v>2</v>
      </c>
      <c r="B27" s="4" t="s">
        <v>3</v>
      </c>
      <c r="C27" s="4" t="s">
        <v>4</v>
      </c>
      <c r="D27" s="4" t="s">
        <v>5</v>
      </c>
      <c r="E27" s="4" t="s">
        <v>6</v>
      </c>
      <c r="F27" s="4" t="s">
        <v>7</v>
      </c>
      <c r="G27" s="5" t="s">
        <v>113</v>
      </c>
      <c r="H27" s="6" t="s">
        <v>114</v>
      </c>
      <c r="I27" s="7" t="s">
        <v>115</v>
      </c>
      <c r="J27" s="8" t="s">
        <v>116</v>
      </c>
      <c r="K27" s="4" t="s">
        <v>12</v>
      </c>
    </row>
    <row r="28" customFormat="false" ht="23.85" hidden="false" customHeight="false" outlineLevel="0" collapsed="false">
      <c r="A28" s="18" t="n">
        <v>1</v>
      </c>
      <c r="B28" s="19" t="str">
        <f aca="false">เมียลับท่านประธาน!A1</f>
        <v>🔥 เมียลับท่านประธาน</v>
      </c>
      <c r="C28" s="18" t="s">
        <v>14</v>
      </c>
      <c r="D28" s="20" t="n">
        <v>50</v>
      </c>
      <c r="E28" s="21" t="s">
        <v>15</v>
      </c>
      <c r="F28" s="11" t="s">
        <v>16</v>
      </c>
      <c r="G28" s="13" t="n">
        <f aca="false">เมียลับท่านประธาน!B5</f>
        <v>35</v>
      </c>
      <c r="H28" s="12" t="n">
        <f aca="false">เมียลับท่านประธาน!B6</f>
        <v>30</v>
      </c>
      <c r="I28" s="14" t="n">
        <f aca="false">เมียลับท่านประธาน!B7</f>
        <v>22</v>
      </c>
      <c r="J28" s="17" t="str">
        <f aca="false">เมียลับท่านประธาน!B8</f>
        <v>—</v>
      </c>
      <c r="K28" s="24"/>
    </row>
    <row r="29" customFormat="false" ht="23.85" hidden="false" customHeight="false" outlineLevel="0" collapsed="false">
      <c r="A29" s="25" t="n">
        <v>2</v>
      </c>
      <c r="B29" s="26" t="str">
        <f aca="false">บังคับรักมาเฟียร้าย!A1</f>
        <v>🔥 บังคับรักมาเฟียร้าย</v>
      </c>
      <c r="C29" s="25" t="s">
        <v>19</v>
      </c>
      <c r="D29" s="27" t="n">
        <v>45</v>
      </c>
      <c r="E29" s="28" t="s">
        <v>15</v>
      </c>
      <c r="F29" s="11" t="s">
        <v>16</v>
      </c>
      <c r="G29" s="13" t="n">
        <f aca="false">บังคับรักมาเฟียร้าย!B5</f>
        <v>40</v>
      </c>
      <c r="H29" s="12" t="n">
        <f aca="false">บังคับรักมาเฟียร้าย!B6</f>
        <v>35</v>
      </c>
      <c r="I29" s="14" t="str">
        <f aca="false">บังคับรักมาเฟียร้าย!B7</f>
        <v>—</v>
      </c>
      <c r="J29" s="17" t="n">
        <f aca="false">บังคับรักมาเฟียร้าย!B8</f>
        <v>28</v>
      </c>
      <c r="K29" s="31"/>
    </row>
    <row r="30" customFormat="false" ht="15" hidden="false" customHeight="false" outlineLevel="0" collapsed="false">
      <c r="A30" s="18" t="n">
        <v>3</v>
      </c>
      <c r="B30" s="19" t="str">
        <f aca="false">พลาดท้องกับเจ้านาย!A1</f>
        <v>พลาดท้องกับเจ้านาย</v>
      </c>
      <c r="C30" s="18" t="s">
        <v>21</v>
      </c>
      <c r="D30" s="20" t="n">
        <v>40</v>
      </c>
      <c r="E30" s="21" t="s">
        <v>15</v>
      </c>
      <c r="F30" s="20"/>
      <c r="G30" s="22" t="n">
        <f aca="false">พลาดท้องกับเจ้านาย!B5</f>
        <v>18</v>
      </c>
      <c r="H30" s="21" t="n">
        <f aca="false">พลาดท้องกับเจ้านาย!B6</f>
        <v>14</v>
      </c>
      <c r="I30" s="39" t="str">
        <f aca="false">พลาดท้องกับเจ้านาย!B7</f>
        <v>—</v>
      </c>
      <c r="J30" s="32" t="str">
        <f aca="false">พลาดท้องกับเจ้านาย!B8</f>
        <v>—</v>
      </c>
      <c r="K30" s="24"/>
    </row>
    <row r="31" customFormat="false" ht="15" hidden="false" customHeight="false" outlineLevel="0" collapsed="false">
      <c r="A31" s="25" t="n">
        <v>4</v>
      </c>
      <c r="B31" s="26" t="str">
        <f aca="false">หมอร้ายได้อีก!A1</f>
        <v>🔥 หมอร้ายได้อีก</v>
      </c>
      <c r="C31" s="25" t="s">
        <v>23</v>
      </c>
      <c r="D31" s="27" t="n">
        <v>50</v>
      </c>
      <c r="E31" s="28" t="s">
        <v>15</v>
      </c>
      <c r="F31" s="11" t="s">
        <v>16</v>
      </c>
      <c r="G31" s="13" t="n">
        <f aca="false">หมอร้ายได้อีก!B5</f>
        <v>42</v>
      </c>
      <c r="H31" s="12" t="n">
        <f aca="false">หมอร้ายได้อีก!B6</f>
        <v>38</v>
      </c>
      <c r="I31" s="14" t="n">
        <f aca="false">หมอร้ายได้อีก!B7</f>
        <v>30</v>
      </c>
      <c r="J31" s="17" t="n">
        <f aca="false">หมอร้ายได้อีก!B8</f>
        <v>25</v>
      </c>
      <c r="K31" s="31"/>
    </row>
    <row r="32" customFormat="false" ht="15" hidden="false" customHeight="false" outlineLevel="0" collapsed="false">
      <c r="A32" s="18" t="n">
        <v>5</v>
      </c>
      <c r="B32" s="19" t="str">
        <f aca="false">ฮาเร็มท่านCEO!A1</f>
        <v>🔥 ฮาเร็มท่านCEO</v>
      </c>
      <c r="C32" s="18" t="s">
        <v>25</v>
      </c>
      <c r="D32" s="20" t="n">
        <v>50</v>
      </c>
      <c r="E32" s="21" t="s">
        <v>15</v>
      </c>
      <c r="F32" s="11" t="s">
        <v>16</v>
      </c>
      <c r="G32" s="13" t="n">
        <f aca="false">ฮาเร็มท่านCEO!B5</f>
        <v>45</v>
      </c>
      <c r="H32" s="12" t="n">
        <f aca="false">ฮาเร็มท่านCEO!B6</f>
        <v>40</v>
      </c>
      <c r="I32" s="14" t="n">
        <f aca="false">ฮาเร็มท่านCEO!B7</f>
        <v>32</v>
      </c>
      <c r="J32" s="17" t="n">
        <f aca="false">ฮาเร็มท่านCEO!B8</f>
        <v>28</v>
      </c>
      <c r="K32" s="24"/>
    </row>
    <row r="33" customFormat="false" ht="15" hidden="false" customHeight="false" outlineLevel="0" collapsed="false">
      <c r="A33" s="25" t="n">
        <v>6</v>
      </c>
      <c r="B33" s="26" t="str">
        <f aca="false">คุณชายร้ายกาจ!A1</f>
        <v>คุณชายร้ายกาจ</v>
      </c>
      <c r="C33" s="25" t="s">
        <v>14</v>
      </c>
      <c r="D33" s="27" t="n">
        <v>45</v>
      </c>
      <c r="E33" s="28" t="s">
        <v>15</v>
      </c>
      <c r="F33" s="27"/>
      <c r="G33" s="29" t="n">
        <f aca="false">คุณชายร้ายกาจ!B5</f>
        <v>20</v>
      </c>
      <c r="H33" s="28" t="str">
        <f aca="false">คุณชายร้ายกาจ!B6</f>
        <v>—</v>
      </c>
      <c r="I33" s="65" t="str">
        <f aca="false">คุณชายร้ายกาจ!B7</f>
        <v>—</v>
      </c>
      <c r="J33" s="34" t="str">
        <f aca="false">คุณชายร้ายกาจ!B8</f>
        <v>—</v>
      </c>
      <c r="K33" s="31"/>
    </row>
    <row r="34" customFormat="false" ht="15" hidden="false" customHeight="false" outlineLevel="0" collapsed="false">
      <c r="A34" s="18" t="n">
        <v>7</v>
      </c>
      <c r="B34" s="19" t="str">
        <f aca="false">จอมใจนายทหาร!A1</f>
        <v>จอมใจนายทหาร</v>
      </c>
      <c r="C34" s="18" t="s">
        <v>28</v>
      </c>
      <c r="D34" s="20" t="n">
        <v>40</v>
      </c>
      <c r="E34" s="21" t="s">
        <v>15</v>
      </c>
      <c r="F34" s="20"/>
      <c r="G34" s="22" t="n">
        <f aca="false">จอมใจนายทหาร!B5</f>
        <v>15</v>
      </c>
      <c r="H34" s="21" t="str">
        <f aca="false">จอมใจนายทหาร!B6</f>
        <v>—</v>
      </c>
      <c r="I34" s="39" t="str">
        <f aca="false">จอมใจนายทหาร!B7</f>
        <v>—</v>
      </c>
      <c r="J34" s="32" t="str">
        <f aca="false">จอมใจนายทหาร!B8</f>
        <v>—</v>
      </c>
      <c r="K34" s="24"/>
    </row>
    <row r="35" customFormat="false" ht="15" hidden="false" customHeight="false" outlineLevel="0" collapsed="false">
      <c r="A35" s="25" t="n">
        <v>8</v>
      </c>
      <c r="B35" s="26" t="str">
        <f aca="false">กลับมารักฉันอีกครั้ง!A1</f>
        <v>กลับมารักฉันอีกครั้ง</v>
      </c>
      <c r="C35" s="25" t="s">
        <v>30</v>
      </c>
      <c r="D35" s="27" t="n">
        <v>50</v>
      </c>
      <c r="E35" s="28" t="s">
        <v>15</v>
      </c>
      <c r="F35" s="27"/>
      <c r="G35" s="29" t="n">
        <f aca="false">กลับมารักฉันอีกครั้ง!B5</f>
        <v>12</v>
      </c>
      <c r="H35" s="28" t="str">
        <f aca="false">กลับมารักฉันอีกครั้ง!B6</f>
        <v>—</v>
      </c>
      <c r="I35" s="65" t="str">
        <f aca="false">กลับมารักฉันอีกครั้ง!B7</f>
        <v>—</v>
      </c>
      <c r="J35" s="34" t="str">
        <f aca="false">กลับมารักฉันอีกครั้ง!B8</f>
        <v>—</v>
      </c>
      <c r="K35" s="31"/>
    </row>
    <row r="36" customFormat="false" ht="15" hidden="false" customHeight="false" outlineLevel="0" collapsed="false">
      <c r="A36" s="18" t="n">
        <v>9</v>
      </c>
      <c r="B36" s="19" t="str">
        <f aca="false">ดักรักเลขาสาว!A1</f>
        <v>ดักรักเลขาสาว</v>
      </c>
      <c r="C36" s="18" t="s">
        <v>14</v>
      </c>
      <c r="D36" s="20" t="n">
        <v>40</v>
      </c>
      <c r="E36" s="32" t="s">
        <v>32</v>
      </c>
      <c r="F36" s="20"/>
      <c r="G36" s="22" t="str">
        <f aca="false">ดักรักเลขาสาว!B5</f>
        <v>—</v>
      </c>
      <c r="H36" s="21" t="str">
        <f aca="false">ดักรักเลขาสาว!B6</f>
        <v>—</v>
      </c>
      <c r="I36" s="39" t="str">
        <f aca="false">ดักรักเลขาสาว!B7</f>
        <v>—</v>
      </c>
      <c r="J36" s="32" t="str">
        <f aca="false">ดักรักเลขาสาว!B8</f>
        <v>—</v>
      </c>
      <c r="K36" s="24"/>
    </row>
    <row r="37" customFormat="false" ht="23.85" hidden="false" customHeight="false" outlineLevel="0" collapsed="false">
      <c r="A37" s="25" t="n">
        <v>10</v>
      </c>
      <c r="B37" s="26" t="str">
        <f aca="false">คืนนั้นกับคนแปลกหน้า!A1</f>
        <v>คืนนั้นกับคนแปลกหน้า</v>
      </c>
      <c r="C37" s="25" t="s">
        <v>35</v>
      </c>
      <c r="D37" s="27" t="n">
        <v>45</v>
      </c>
      <c r="E37" s="34" t="s">
        <v>32</v>
      </c>
      <c r="F37" s="27"/>
      <c r="G37" s="29" t="str">
        <f aca="false">คืนนั้นกับคนแปลกหน้า!B5</f>
        <v>—</v>
      </c>
      <c r="H37" s="28" t="str">
        <f aca="false">คืนนั้นกับคนแปลกหน้า!B6</f>
        <v>—</v>
      </c>
      <c r="I37" s="65" t="str">
        <f aca="false">คืนนั้นกับคนแปลกหน้า!B7</f>
        <v>—</v>
      </c>
      <c r="J37" s="34" t="str">
        <f aca="false">คืนนั้นกับคนแปลกหน้า!B8</f>
        <v>—</v>
      </c>
      <c r="K37" s="31"/>
    </row>
    <row r="38" customFormat="false" ht="15" hidden="false" customHeight="false" outlineLevel="0" collapsed="false">
      <c r="A38" s="18" t="n">
        <v>11</v>
      </c>
      <c r="B38" s="19" t="str">
        <f aca="false">ซ่อนรักไว้ในใจ!A1</f>
        <v>ซ่อนรักไว้ในใจ</v>
      </c>
      <c r="C38" s="18" t="s">
        <v>37</v>
      </c>
      <c r="D38" s="20" t="n">
        <v>35</v>
      </c>
      <c r="E38" s="32" t="s">
        <v>32</v>
      </c>
      <c r="F38" s="20"/>
      <c r="G38" s="22" t="str">
        <f aca="false">ซ่อนรักไว้ในใจ!B5</f>
        <v>—</v>
      </c>
      <c r="H38" s="21" t="str">
        <f aca="false">ซ่อนรักไว้ในใจ!B6</f>
        <v>—</v>
      </c>
      <c r="I38" s="39" t="str">
        <f aca="false">ซ่อนรักไว้ในใจ!B7</f>
        <v>—</v>
      </c>
      <c r="J38" s="32" t="str">
        <f aca="false">ซ่อนรักไว้ในใจ!B8</f>
        <v>—</v>
      </c>
      <c r="K38" s="24"/>
    </row>
    <row r="39" customFormat="false" ht="15" hidden="false" customHeight="false" outlineLevel="0" collapsed="false">
      <c r="A39" s="25" t="n">
        <v>12</v>
      </c>
      <c r="B39" s="26" t="str">
        <f aca="false">สัญญารักร้อน!A1</f>
        <v>สัญญารักร้อน</v>
      </c>
      <c r="C39" s="25" t="s">
        <v>39</v>
      </c>
      <c r="D39" s="27" t="n">
        <v>40</v>
      </c>
      <c r="E39" s="29" t="s">
        <v>40</v>
      </c>
      <c r="F39" s="27"/>
      <c r="G39" s="29" t="str">
        <f aca="false">สัญญารักร้อน!B5</f>
        <v>—</v>
      </c>
      <c r="H39" s="28" t="str">
        <f aca="false">สัญญารักร้อน!B6</f>
        <v>—</v>
      </c>
      <c r="I39" s="65" t="str">
        <f aca="false">สัญญารักร้อน!B7</f>
        <v>—</v>
      </c>
      <c r="J39" s="34" t="str">
        <f aca="false">สัญญารักร้อน!B8</f>
        <v>—</v>
      </c>
      <c r="K39" s="31"/>
    </row>
    <row r="40" customFormat="false" ht="15" hidden="false" customHeight="false" outlineLevel="0" collapsed="false">
      <c r="A40" s="18" t="n">
        <v>13</v>
      </c>
      <c r="B40" s="19" t="str">
        <f aca="false">เกมรักอันตราย!A1</f>
        <v>เกมรักอันตราย</v>
      </c>
      <c r="C40" s="18" t="s">
        <v>42</v>
      </c>
      <c r="D40" s="20" t="n">
        <v>45</v>
      </c>
      <c r="E40" s="22" t="s">
        <v>40</v>
      </c>
      <c r="F40" s="20"/>
      <c r="G40" s="22" t="str">
        <f aca="false">เกมรักอันตราย!B5</f>
        <v>—</v>
      </c>
      <c r="H40" s="21" t="str">
        <f aca="false">เกมรักอันตราย!B6</f>
        <v>—</v>
      </c>
      <c r="I40" s="39" t="str">
        <f aca="false">เกมรักอันตราย!B7</f>
        <v>—</v>
      </c>
      <c r="J40" s="32" t="str">
        <f aca="false">เกมรักอันตราย!B8</f>
        <v>—</v>
      </c>
      <c r="K40" s="24"/>
    </row>
    <row r="41" customFormat="false" ht="15" hidden="false" customHeight="false" outlineLevel="0" collapsed="false">
      <c r="A41" s="25" t="n">
        <v>14</v>
      </c>
      <c r="B41" s="26" t="str">
        <f aca="false">รักข้ามชนชั้น!A1</f>
        <v>รักข้ามชนชั้น</v>
      </c>
      <c r="C41" s="25" t="s">
        <v>35</v>
      </c>
      <c r="D41" s="27" t="n">
        <v>40</v>
      </c>
      <c r="E41" s="34" t="s">
        <v>32</v>
      </c>
      <c r="F41" s="27"/>
      <c r="G41" s="29" t="str">
        <f aca="false">รักข้ามชนชั้น!B5</f>
        <v>—</v>
      </c>
      <c r="H41" s="28" t="str">
        <f aca="false">รักข้ามชนชั้น!B6</f>
        <v>—</v>
      </c>
      <c r="I41" s="65" t="str">
        <f aca="false">รักข้ามชนชั้น!B7</f>
        <v>—</v>
      </c>
      <c r="J41" s="34" t="str">
        <f aca="false">รักข้ามชนชั้น!B8</f>
        <v>—</v>
      </c>
      <c r="K41" s="31"/>
    </row>
    <row r="42" customFormat="false" ht="15" hidden="false" customHeight="false" outlineLevel="0" collapsed="false">
      <c r="A42" s="18" t="n">
        <v>15</v>
      </c>
      <c r="B42" s="19" t="str">
        <f aca="false">เสน่ห์ร้ายนายตำรวจ!A1</f>
        <v>เสน่ห์ร้ายนายตำรวจ</v>
      </c>
      <c r="C42" s="18" t="s">
        <v>45</v>
      </c>
      <c r="D42" s="20" t="n">
        <v>45</v>
      </c>
      <c r="E42" s="32" t="s">
        <v>32</v>
      </c>
      <c r="F42" s="20"/>
      <c r="G42" s="22" t="str">
        <f aca="false">เสน่ห์ร้ายนายตำรวจ!B5</f>
        <v>—</v>
      </c>
      <c r="H42" s="21" t="str">
        <f aca="false">เสน่ห์ร้ายนายตำรวจ!B6</f>
        <v>—</v>
      </c>
      <c r="I42" s="39" t="str">
        <f aca="false">เสน่ห์ร้ายนายตำรวจ!B7</f>
        <v>—</v>
      </c>
      <c r="J42" s="32" t="str">
        <f aca="false">เสน่ห์ร้ายนายตำรวจ!B8</f>
        <v>—</v>
      </c>
      <c r="K42" s="24"/>
    </row>
    <row r="43" customFormat="false" ht="15" hidden="false" customHeight="false" outlineLevel="0" collapsed="false">
      <c r="A43" s="25" t="n">
        <v>16</v>
      </c>
      <c r="B43" s="26" t="str">
        <f aca="false">จับหัวใจเจ้าชายมาเฟี!A1</f>
        <v>จับหัวใจเจ้าชายมาเฟีย</v>
      </c>
      <c r="C43" s="25" t="s">
        <v>19</v>
      </c>
      <c r="D43" s="27" t="n">
        <v>50</v>
      </c>
      <c r="E43" s="29" t="s">
        <v>40</v>
      </c>
      <c r="F43" s="27"/>
      <c r="G43" s="29" t="str">
        <f aca="false">จับหัวใจเจ้าชายมาเฟี!B5</f>
        <v>—</v>
      </c>
      <c r="H43" s="28" t="str">
        <f aca="false">จับหัวใจเจ้าชายมาเฟี!B6</f>
        <v>—</v>
      </c>
      <c r="I43" s="65" t="str">
        <f aca="false">จับหัวใจเจ้าชายมาเฟี!B7</f>
        <v>—</v>
      </c>
      <c r="J43" s="34" t="str">
        <f aca="false">จับหัวใจเจ้าชายมาเฟี!B8</f>
        <v>—</v>
      </c>
      <c r="K43" s="31"/>
    </row>
    <row r="44" customFormat="false" ht="15" hidden="false" customHeight="false" outlineLevel="0" collapsed="false">
      <c r="A44" s="18" t="n">
        <v>17</v>
      </c>
      <c r="B44" s="19" t="str">
        <f aca="false">รักนี้มีแต่เธอ!A1</f>
        <v>รักนี้มีแต่เธอ</v>
      </c>
      <c r="C44" s="18" t="s">
        <v>37</v>
      </c>
      <c r="D44" s="20" t="n">
        <v>35</v>
      </c>
      <c r="E44" s="36" t="s">
        <v>33</v>
      </c>
      <c r="F44" s="20"/>
      <c r="G44" s="22" t="str">
        <f aca="false">รักนี้มีแต่เธอ!B5</f>
        <v>—</v>
      </c>
      <c r="H44" s="21" t="str">
        <f aca="false">รักนี้มีแต่เธอ!B6</f>
        <v>—</v>
      </c>
      <c r="I44" s="39" t="str">
        <f aca="false">รักนี้มีแต่เธอ!B7</f>
        <v>—</v>
      </c>
      <c r="J44" s="32" t="str">
        <f aca="false">รักนี้มีแต่เธอ!B8</f>
        <v>—</v>
      </c>
      <c r="K44" s="24"/>
    </row>
    <row r="45" customFormat="false" ht="15" hidden="false" customHeight="false" outlineLevel="0" collapsed="false">
      <c r="A45" s="25" t="n">
        <v>18</v>
      </c>
      <c r="B45" s="26" t="str">
        <f aca="false">พิษรักนางบำเรอ!A1</f>
        <v>พิษรักนางบำเรอ</v>
      </c>
      <c r="C45" s="25" t="s">
        <v>49</v>
      </c>
      <c r="D45" s="27" t="n">
        <v>40</v>
      </c>
      <c r="E45" s="34" t="s">
        <v>32</v>
      </c>
      <c r="F45" s="27"/>
      <c r="G45" s="29" t="str">
        <f aca="false">พิษรักนางบำเรอ!B5</f>
        <v>—</v>
      </c>
      <c r="H45" s="28" t="str">
        <f aca="false">พิษรักนางบำเรอ!B6</f>
        <v>—</v>
      </c>
      <c r="I45" s="65" t="str">
        <f aca="false">พิษรักนางบำเรอ!B7</f>
        <v>—</v>
      </c>
      <c r="J45" s="34" t="str">
        <f aca="false">พิษรักนางบำเรอ!B8</f>
        <v>—</v>
      </c>
      <c r="K45" s="31"/>
    </row>
    <row r="46" customFormat="false" ht="15" hidden="false" customHeight="false" outlineLevel="0" collapsed="false">
      <c r="A46" s="18" t="n">
        <v>19</v>
      </c>
      <c r="B46" s="19" t="str">
        <f aca="false">ลิขิตรักข้ามเวลา!A1</f>
        <v>ลิขิตรักข้ามเวลา</v>
      </c>
      <c r="C46" s="18" t="s">
        <v>51</v>
      </c>
      <c r="D46" s="20" t="n">
        <v>45</v>
      </c>
      <c r="E46" s="22" t="s">
        <v>40</v>
      </c>
      <c r="F46" s="20"/>
      <c r="G46" s="22" t="str">
        <f aca="false">ลิขิตรักข้ามเวลา!B5</f>
        <v>—</v>
      </c>
      <c r="H46" s="21" t="str">
        <f aca="false">ลิขิตรักข้ามเวลา!B6</f>
        <v>—</v>
      </c>
      <c r="I46" s="39" t="str">
        <f aca="false">ลิขิตรักข้ามเวลา!B7</f>
        <v>—</v>
      </c>
      <c r="J46" s="32" t="str">
        <f aca="false">ลิขิตรักข้ามเวลา!B8</f>
        <v>—</v>
      </c>
      <c r="K46" s="24"/>
    </row>
    <row r="47" customFormat="false" ht="15" hidden="false" customHeight="false" outlineLevel="0" collapsed="false">
      <c r="A47" s="25" t="n">
        <v>20</v>
      </c>
      <c r="B47" s="26" t="str">
        <f aca="false">เชลยรักทรราช!A1</f>
        <v>เชลยรักทรราช</v>
      </c>
      <c r="C47" s="25" t="s">
        <v>49</v>
      </c>
      <c r="D47" s="27" t="n">
        <v>40</v>
      </c>
      <c r="E47" s="37" t="s">
        <v>33</v>
      </c>
      <c r="F47" s="27"/>
      <c r="G47" s="29" t="str">
        <f aca="false">เชลยรักทรราช!B5</f>
        <v>—</v>
      </c>
      <c r="H47" s="28" t="str">
        <f aca="false">เชลยรักทรราช!B6</f>
        <v>—</v>
      </c>
      <c r="I47" s="65" t="str">
        <f aca="false">เชลยรักทรราช!B7</f>
        <v>—</v>
      </c>
      <c r="J47" s="34" t="str">
        <f aca="false">เชลยรักทรราช!B8</f>
        <v>—</v>
      </c>
      <c r="K47" s="31"/>
    </row>
    <row r="48" customFormat="false" ht="15" hidden="false" customHeight="false" outlineLevel="0" collapsed="false">
      <c r="A48" s="18" t="n">
        <v>21</v>
      </c>
      <c r="B48" s="19" t="str">
        <f aca="false">บ่วงรักสาวใช้!A1</f>
        <v>บ่วงรักสาวใช้</v>
      </c>
      <c r="C48" s="18" t="s">
        <v>35</v>
      </c>
      <c r="D48" s="20" t="n">
        <v>35</v>
      </c>
      <c r="E48" s="36" t="s">
        <v>33</v>
      </c>
      <c r="F48" s="20"/>
      <c r="G48" s="22" t="str">
        <f aca="false">บ่วงรักสาวใช้!B5</f>
        <v>—</v>
      </c>
      <c r="H48" s="21" t="str">
        <f aca="false">บ่วงรักสาวใช้!B6</f>
        <v>—</v>
      </c>
      <c r="I48" s="39" t="str">
        <f aca="false">บ่วงรักสาวใช้!B7</f>
        <v>—</v>
      </c>
      <c r="J48" s="32" t="str">
        <f aca="false">บ่วงรักสาวใช้!B8</f>
        <v>—</v>
      </c>
      <c r="K48" s="24"/>
    </row>
    <row r="49" customFormat="false" ht="15" hidden="false" customHeight="false" outlineLevel="0" collapsed="false">
      <c r="A49" s="25" t="n">
        <v>22</v>
      </c>
      <c r="B49" s="26" t="str">
        <f aca="false">ร้อนรักวัยดรุณ!A1</f>
        <v>ร้อนรักวัยดรุณ</v>
      </c>
      <c r="C49" s="25" t="s">
        <v>55</v>
      </c>
      <c r="D49" s="27" t="n">
        <v>30</v>
      </c>
      <c r="E49" s="34" t="s">
        <v>32</v>
      </c>
      <c r="F49" s="27"/>
      <c r="G49" s="29" t="str">
        <f aca="false">ร้อนรักวัยดรุณ!B5</f>
        <v>—</v>
      </c>
      <c r="H49" s="28" t="str">
        <f aca="false">ร้อนรักวัยดรุณ!B6</f>
        <v>—</v>
      </c>
      <c r="I49" s="65" t="str">
        <f aca="false">ร้อนรักวัยดรุณ!B7</f>
        <v>—</v>
      </c>
      <c r="J49" s="34" t="str">
        <f aca="false">ร้อนรักวัยดรุณ!B8</f>
        <v>—</v>
      </c>
      <c r="K49" s="31"/>
    </row>
    <row r="50" customFormat="false" ht="15" hidden="false" customHeight="false" outlineLevel="0" collapsed="false">
      <c r="A50" s="18" t="n">
        <v>23</v>
      </c>
      <c r="B50" s="19" t="str">
        <f aca="false">ตกหลุมรักนายจอมหยิ่ง!A1</f>
        <v>ตกหลุมรักนายจอมหยิ่ง</v>
      </c>
      <c r="C50" s="18" t="s">
        <v>14</v>
      </c>
      <c r="D50" s="20" t="n">
        <v>45</v>
      </c>
      <c r="E50" s="22" t="s">
        <v>40</v>
      </c>
      <c r="F50" s="20"/>
      <c r="G50" s="22" t="str">
        <f aca="false">ตกหลุมรักนายจอมหยิ่ง!B5</f>
        <v>—</v>
      </c>
      <c r="H50" s="21" t="str">
        <f aca="false">ตกหลุมรักนายจอมหยิ่ง!B6</f>
        <v>—</v>
      </c>
      <c r="I50" s="39" t="str">
        <f aca="false">ตกหลุมรักนายจอมหยิ่ง!B7</f>
        <v>—</v>
      </c>
      <c r="J50" s="32" t="str">
        <f aca="false">ตกหลุมรักนายจอมหยิ่ง!B8</f>
        <v>—</v>
      </c>
      <c r="K50" s="24"/>
    </row>
    <row r="51" customFormat="false" ht="15" hidden="false" customHeight="false" outlineLevel="0" collapsed="false">
      <c r="A51" s="25" t="n">
        <v>24</v>
      </c>
      <c r="B51" s="26" t="str">
        <f aca="false">ทาสรักจอมโหด!A1</f>
        <v>ทาสรักจอมโหด</v>
      </c>
      <c r="C51" s="25" t="s">
        <v>58</v>
      </c>
      <c r="D51" s="27" t="n">
        <v>35</v>
      </c>
      <c r="E51" s="38" t="s">
        <v>59</v>
      </c>
      <c r="F51" s="27"/>
      <c r="G51" s="29" t="n">
        <f aca="false">ทาสรักจอมโหด!B5</f>
        <v>35</v>
      </c>
      <c r="H51" s="28" t="n">
        <f aca="false">ทาสรักจอมโหด!B6</f>
        <v>35</v>
      </c>
      <c r="I51" s="65" t="str">
        <f aca="false">ทาสรักจอมโหด!B7</f>
        <v>—</v>
      </c>
      <c r="J51" s="34" t="str">
        <f aca="false">ทาสรักจอมโหด!B8</f>
        <v>—</v>
      </c>
      <c r="K51" s="31"/>
    </row>
    <row r="52" customFormat="false" ht="15" hidden="false" customHeight="false" outlineLevel="0" collapsed="false">
      <c r="A52" s="18" t="n">
        <v>25</v>
      </c>
      <c r="B52" s="19" t="str">
        <f aca="false">แม่บ้านตัวร้าย!A1</f>
        <v>แม่บ้านตัวร้าย</v>
      </c>
      <c r="C52" s="18" t="s">
        <v>35</v>
      </c>
      <c r="D52" s="20" t="n">
        <v>40</v>
      </c>
      <c r="E52" s="39" t="s">
        <v>61</v>
      </c>
      <c r="F52" s="20"/>
      <c r="G52" s="22" t="n">
        <f aca="false">แม่บ้านตัวร้าย!B5</f>
        <v>18</v>
      </c>
      <c r="H52" s="21" t="n">
        <f aca="false">แม่บ้านตัวร้าย!B6</f>
        <v>14</v>
      </c>
      <c r="I52" s="39" t="str">
        <f aca="false">แม่บ้านตัวร้าย!B7</f>
        <v>—</v>
      </c>
      <c r="J52" s="32" t="str">
        <f aca="false">แม่บ้านตัวร้าย!B8</f>
        <v>—</v>
      </c>
      <c r="K52" s="24"/>
    </row>
    <row r="53" customFormat="false" ht="15" hidden="false" customHeight="false" outlineLevel="0" collapsed="false">
      <c r="A53" s="25" t="n">
        <v>26</v>
      </c>
      <c r="B53" s="26" t="str">
        <f aca="false">สะดุดรักยัยจอมแก่น!A1</f>
        <v>สะดุดรักยัยจอมแก่น</v>
      </c>
      <c r="C53" s="25" t="s">
        <v>37</v>
      </c>
      <c r="D53" s="27" t="n">
        <v>40</v>
      </c>
      <c r="E53" s="34" t="s">
        <v>32</v>
      </c>
      <c r="F53" s="27"/>
      <c r="G53" s="29" t="str">
        <f aca="false">สะดุดรักยัยจอมแก่น!B5</f>
        <v>—</v>
      </c>
      <c r="H53" s="28" t="str">
        <f aca="false">สะดุดรักยัยจอมแก่น!B6</f>
        <v>—</v>
      </c>
      <c r="I53" s="65" t="str">
        <f aca="false">สะดุดรักยัยจอมแก่น!B7</f>
        <v>—</v>
      </c>
      <c r="J53" s="34" t="str">
        <f aca="false">สะดุดรักยัยจอมแก่น!B8</f>
        <v>—</v>
      </c>
      <c r="K53" s="31"/>
    </row>
    <row r="54" customFormat="false" ht="15" hidden="false" customHeight="false" outlineLevel="0" collapsed="false">
      <c r="A54" s="18" t="n">
        <v>27</v>
      </c>
      <c r="B54" s="19" t="str">
        <f aca="false">เพลิงรักนักบินหนุ่ม!A1</f>
        <v>เพลิงรักนักบินหนุ่ม</v>
      </c>
      <c r="C54" s="18" t="s">
        <v>37</v>
      </c>
      <c r="D54" s="20" t="n">
        <v>35</v>
      </c>
      <c r="E54" s="32" t="s">
        <v>32</v>
      </c>
      <c r="F54" s="20"/>
      <c r="G54" s="22" t="str">
        <f aca="false">เพลิงรักนักบินหนุ่ม!B5</f>
        <v>—</v>
      </c>
      <c r="H54" s="21" t="str">
        <f aca="false">เพลิงรักนักบินหนุ่ม!B6</f>
        <v>—</v>
      </c>
      <c r="I54" s="39" t="str">
        <f aca="false">เพลิงรักนักบินหนุ่ม!B7</f>
        <v>—</v>
      </c>
      <c r="J54" s="32" t="str">
        <f aca="false">เพลิงรักนักบินหนุ่ม!B8</f>
        <v>—</v>
      </c>
      <c r="K54" s="24"/>
    </row>
    <row r="55" customFormat="false" ht="15" hidden="false" customHeight="false" outlineLevel="0" collapsed="false">
      <c r="A55" s="25" t="n">
        <v>28</v>
      </c>
      <c r="B55" s="26" t="str">
        <f aca="false">รักพิษสวาท!A1</f>
        <v>รักพิษสวาท</v>
      </c>
      <c r="C55" s="25" t="s">
        <v>35</v>
      </c>
      <c r="D55" s="27" t="n">
        <v>45</v>
      </c>
      <c r="E55" s="29" t="s">
        <v>40</v>
      </c>
      <c r="F55" s="27"/>
      <c r="G55" s="29" t="str">
        <f aca="false">รักพิษสวาท!B5</f>
        <v>—</v>
      </c>
      <c r="H55" s="28" t="str">
        <f aca="false">รักพิษสวาท!B6</f>
        <v>—</v>
      </c>
      <c r="I55" s="65" t="str">
        <f aca="false">รักพิษสวาท!B7</f>
        <v>—</v>
      </c>
      <c r="J55" s="34" t="str">
        <f aca="false">รักพิษสวาท!B8</f>
        <v>—</v>
      </c>
      <c r="K55" s="31"/>
    </row>
    <row r="56" customFormat="false" ht="15" hidden="false" customHeight="false" outlineLevel="0" collapsed="false">
      <c r="A56" s="18" t="n">
        <v>29</v>
      </c>
      <c r="B56" s="19" t="str">
        <f aca="false">หัวใจทศกัณฐ์!A1</f>
        <v>หัวใจทศกัณฐ์</v>
      </c>
      <c r="C56" s="18" t="s">
        <v>51</v>
      </c>
      <c r="D56" s="20" t="n">
        <v>50</v>
      </c>
      <c r="E56" s="22" t="s">
        <v>40</v>
      </c>
      <c r="F56" s="20"/>
      <c r="G56" s="22" t="str">
        <f aca="false">หัวใจทศกัณฐ์!B5</f>
        <v>—</v>
      </c>
      <c r="H56" s="21" t="str">
        <f aca="false">หัวใจทศกัณฐ์!B6</f>
        <v>—</v>
      </c>
      <c r="I56" s="39" t="str">
        <f aca="false">หัวใจทศกัณฐ์!B7</f>
        <v>—</v>
      </c>
      <c r="J56" s="32" t="str">
        <f aca="false">หัวใจทศกัณฐ์!B8</f>
        <v>—</v>
      </c>
      <c r="K56" s="24"/>
    </row>
    <row r="57" customFormat="false" ht="15" hidden="false" customHeight="false" outlineLevel="0" collapsed="false">
      <c r="A57" s="25" t="n">
        <v>30</v>
      </c>
      <c r="B57" s="26" t="str">
        <f aca="false">ขังรักไว้ในอ้อมแขน!A1</f>
        <v>ขังรักไว้ในอ้อมแขน</v>
      </c>
      <c r="C57" s="25" t="s">
        <v>19</v>
      </c>
      <c r="D57" s="27" t="n">
        <v>40</v>
      </c>
      <c r="E57" s="37" t="s">
        <v>33</v>
      </c>
      <c r="F57" s="27"/>
      <c r="G57" s="29" t="str">
        <f aca="false">ขังรักไว้ในอ้อมแขน!B5</f>
        <v>—</v>
      </c>
      <c r="H57" s="28" t="str">
        <f aca="false">ขังรักไว้ในอ้อมแขน!B6</f>
        <v>—</v>
      </c>
      <c r="I57" s="65" t="str">
        <f aca="false">ขังรักไว้ในอ้อมแขน!B7</f>
        <v>—</v>
      </c>
      <c r="J57" s="34" t="str">
        <f aca="false">ขังรักไว้ในอ้อมแขน!B8</f>
        <v>—</v>
      </c>
      <c r="K57" s="31"/>
    </row>
    <row r="58" customFormat="false" ht="15" hidden="false" customHeight="false" outlineLevel="0" collapsed="false">
      <c r="A58" s="18" t="n">
        <v>31</v>
      </c>
      <c r="B58" s="19" t="str">
        <f aca="false">ว่าที่เมียเจ้าพ่อ!A1</f>
        <v>ว่าที่เมียเจ้าพ่อ</v>
      </c>
      <c r="C58" s="18" t="s">
        <v>19</v>
      </c>
      <c r="D58" s="20" t="n">
        <v>45</v>
      </c>
      <c r="E58" s="32" t="s">
        <v>32</v>
      </c>
      <c r="F58" s="20"/>
      <c r="G58" s="22" t="str">
        <f aca="false">ว่าที่เมียเจ้าพ่อ!B5</f>
        <v>—</v>
      </c>
      <c r="H58" s="21" t="str">
        <f aca="false">ว่าที่เมียเจ้าพ่อ!B6</f>
        <v>—</v>
      </c>
      <c r="I58" s="39" t="str">
        <f aca="false">ว่าที่เมียเจ้าพ่อ!B7</f>
        <v>—</v>
      </c>
      <c r="J58" s="32" t="str">
        <f aca="false">ว่าที่เมียเจ้าพ่อ!B8</f>
        <v>—</v>
      </c>
      <c r="K58" s="24"/>
    </row>
    <row r="59" customFormat="false" ht="15" hidden="false" customHeight="false" outlineLevel="0" collapsed="false">
      <c r="A59" s="25" t="n">
        <v>32</v>
      </c>
      <c r="B59" s="26" t="str">
        <f aca="false">สลับชีวิตรัก!A1</f>
        <v>สลับชีวิตรัก</v>
      </c>
      <c r="C59" s="25" t="s">
        <v>51</v>
      </c>
      <c r="D59" s="27" t="n">
        <v>40</v>
      </c>
      <c r="E59" s="34" t="s">
        <v>32</v>
      </c>
      <c r="F59" s="27"/>
      <c r="G59" s="29" t="str">
        <f aca="false">สลับชีวิตรัก!B5</f>
        <v>—</v>
      </c>
      <c r="H59" s="28" t="str">
        <f aca="false">สลับชีวิตรัก!B6</f>
        <v>—</v>
      </c>
      <c r="I59" s="65" t="str">
        <f aca="false">สลับชีวิตรัก!B7</f>
        <v>—</v>
      </c>
      <c r="J59" s="34" t="str">
        <f aca="false">สลับชีวิตรัก!B8</f>
        <v>—</v>
      </c>
      <c r="K59" s="31"/>
    </row>
    <row r="60" customFormat="false" ht="15" hidden="false" customHeight="false" outlineLevel="0" collapsed="false">
      <c r="A60" s="18" t="n">
        <v>33</v>
      </c>
      <c r="B60" s="19" t="str">
        <f aca="false">รักต้องห้ามนายหัว!A1</f>
        <v>รักต้องห้ามนายหัว</v>
      </c>
      <c r="C60" s="18" t="s">
        <v>14</v>
      </c>
      <c r="D60" s="20" t="n">
        <v>45</v>
      </c>
      <c r="E60" s="22" t="s">
        <v>40</v>
      </c>
      <c r="F60" s="20"/>
      <c r="G60" s="22" t="str">
        <f aca="false">รักต้องห้ามนายหัว!B5</f>
        <v>—</v>
      </c>
      <c r="H60" s="21" t="str">
        <f aca="false">รักต้องห้ามนายหัว!B6</f>
        <v>—</v>
      </c>
      <c r="I60" s="39" t="str">
        <f aca="false">รักต้องห้ามนายหัว!B7</f>
        <v>—</v>
      </c>
      <c r="J60" s="32" t="str">
        <f aca="false">รักต้องห้ามนายหัว!B8</f>
        <v>—</v>
      </c>
      <c r="K60" s="24"/>
    </row>
    <row r="61" customFormat="false" ht="15" hidden="false" customHeight="false" outlineLevel="0" collapsed="false">
      <c r="A61" s="25" t="n">
        <v>34</v>
      </c>
      <c r="B61" s="26" t="str">
        <f aca="false">บาปรักลวงใจ!A1</f>
        <v>บาปรักลวงใจ</v>
      </c>
      <c r="C61" s="25" t="s">
        <v>35</v>
      </c>
      <c r="D61" s="27" t="n">
        <v>40</v>
      </c>
      <c r="E61" s="37" t="s">
        <v>33</v>
      </c>
      <c r="F61" s="27"/>
      <c r="G61" s="29" t="str">
        <f aca="false">บาปรักลวงใจ!B5</f>
        <v>—</v>
      </c>
      <c r="H61" s="28" t="str">
        <f aca="false">บาปรักลวงใจ!B6</f>
        <v>—</v>
      </c>
      <c r="I61" s="65" t="str">
        <f aca="false">บาปรักลวงใจ!B7</f>
        <v>—</v>
      </c>
      <c r="J61" s="34" t="str">
        <f aca="false">บาปรักลวงใจ!B8</f>
        <v>—</v>
      </c>
      <c r="K61" s="31"/>
    </row>
    <row r="62" customFormat="false" ht="15" hidden="false" customHeight="false" outlineLevel="0" collapsed="false">
      <c r="A62" s="18" t="n">
        <v>35</v>
      </c>
      <c r="B62" s="19" t="str">
        <f aca="false">จับจองนางในฝัน!A1</f>
        <v>จับจองนางในฝัน</v>
      </c>
      <c r="C62" s="18" t="s">
        <v>37</v>
      </c>
      <c r="D62" s="20" t="n">
        <v>35</v>
      </c>
      <c r="E62" s="32" t="s">
        <v>32</v>
      </c>
      <c r="F62" s="20"/>
      <c r="G62" s="22" t="str">
        <f aca="false">จับจองนางในฝัน!B5</f>
        <v>—</v>
      </c>
      <c r="H62" s="21" t="str">
        <f aca="false">จับจองนางในฝัน!B6</f>
        <v>—</v>
      </c>
      <c r="I62" s="39" t="str">
        <f aca="false">จับจองนางในฝัน!B7</f>
        <v>—</v>
      </c>
      <c r="J62" s="32" t="str">
        <f aca="false">จับจองนางในฝัน!B8</f>
        <v>—</v>
      </c>
      <c r="K62" s="24"/>
    </row>
    <row r="63" customFormat="false" ht="15" hidden="false" customHeight="false" outlineLevel="0" collapsed="false">
      <c r="A63" s="25" t="n">
        <v>36</v>
      </c>
      <c r="B63" s="26" t="str">
        <f aca="false">เล่ห์รักวังวน!A1</f>
        <v>เล่ห์รักวังวน</v>
      </c>
      <c r="C63" s="25" t="s">
        <v>35</v>
      </c>
      <c r="D63" s="27" t="n">
        <v>40</v>
      </c>
      <c r="E63" s="29" t="s">
        <v>40</v>
      </c>
      <c r="F63" s="27"/>
      <c r="G63" s="29" t="str">
        <f aca="false">เล่ห์รักวังวน!B5</f>
        <v>—</v>
      </c>
      <c r="H63" s="28" t="str">
        <f aca="false">เล่ห์รักวังวน!B6</f>
        <v>—</v>
      </c>
      <c r="I63" s="65" t="str">
        <f aca="false">เล่ห์รักวังวน!B7</f>
        <v>—</v>
      </c>
      <c r="J63" s="34" t="str">
        <f aca="false">เล่ห์รักวังวน!B8</f>
        <v>—</v>
      </c>
      <c r="K63" s="31"/>
    </row>
    <row r="64" customFormat="false" ht="15" hidden="false" customHeight="false" outlineLevel="0" collapsed="false">
      <c r="A64" s="18" t="n">
        <v>37</v>
      </c>
      <c r="B64" s="19" t="str">
        <f aca="false">หมาป่าหัวใจสิงห์!A1</f>
        <v>หมาป่าหัวใจสิงห์</v>
      </c>
      <c r="C64" s="18" t="s">
        <v>51</v>
      </c>
      <c r="D64" s="20" t="n">
        <v>50</v>
      </c>
      <c r="E64" s="22" t="s">
        <v>40</v>
      </c>
      <c r="F64" s="20"/>
      <c r="G64" s="22" t="str">
        <f aca="false">หมาป่าหัวใจสิงห์!B5</f>
        <v>—</v>
      </c>
      <c r="H64" s="21" t="str">
        <f aca="false">หมาป่าหัวใจสิงห์!B6</f>
        <v>—</v>
      </c>
      <c r="I64" s="39" t="str">
        <f aca="false">หมาป่าหัวใจสิงห์!B7</f>
        <v>—</v>
      </c>
      <c r="J64" s="32" t="str">
        <f aca="false">หมาป่าหัวใจสิงห์!B8</f>
        <v>—</v>
      </c>
      <c r="K64" s="24"/>
    </row>
    <row r="65" customFormat="false" ht="15" hidden="false" customHeight="false" outlineLevel="0" collapsed="false">
      <c r="A65" s="25" t="n">
        <v>38</v>
      </c>
      <c r="B65" s="26" t="str">
        <f aca="false">รักนี้ไม่มีถอย!A1</f>
        <v>รักนี้ไม่มีถอย</v>
      </c>
      <c r="C65" s="25" t="s">
        <v>37</v>
      </c>
      <c r="D65" s="27" t="n">
        <v>35</v>
      </c>
      <c r="E65" s="34" t="s">
        <v>32</v>
      </c>
      <c r="F65" s="27"/>
      <c r="G65" s="29" t="str">
        <f aca="false">รักนี้ไม่มีถอย!B5</f>
        <v>—</v>
      </c>
      <c r="H65" s="28" t="str">
        <f aca="false">รักนี้ไม่มีถอย!B6</f>
        <v>—</v>
      </c>
      <c r="I65" s="65" t="str">
        <f aca="false">รักนี้ไม่มีถอย!B7</f>
        <v>—</v>
      </c>
      <c r="J65" s="34" t="str">
        <f aca="false">รักนี้ไม่มีถอย!B8</f>
        <v>—</v>
      </c>
      <c r="K65" s="31"/>
    </row>
    <row r="66" customFormat="false" ht="15" hidden="false" customHeight="false" outlineLevel="0" collapsed="false">
      <c r="A66" s="18" t="n">
        <v>39</v>
      </c>
      <c r="B66" s="19" t="str">
        <f aca="false">ทัณฑ์รักสั่งสวรรค์!A1</f>
        <v>ทัณฑ์รักสั่งสวรรค์</v>
      </c>
      <c r="C66" s="18" t="s">
        <v>49</v>
      </c>
      <c r="D66" s="20" t="n">
        <v>40</v>
      </c>
      <c r="E66" s="32" t="s">
        <v>32</v>
      </c>
      <c r="F66" s="20"/>
      <c r="G66" s="22" t="str">
        <f aca="false">ทัณฑ์รักสั่งสวรรค์!B5</f>
        <v>—</v>
      </c>
      <c r="H66" s="21" t="str">
        <f aca="false">ทัณฑ์รักสั่งสวรรค์!B6</f>
        <v>—</v>
      </c>
      <c r="I66" s="39" t="str">
        <f aca="false">ทัณฑ์รักสั่งสวรรค์!B7</f>
        <v>—</v>
      </c>
      <c r="J66" s="32" t="str">
        <f aca="false">ทัณฑ์รักสั่งสวรรค์!B8</f>
        <v>—</v>
      </c>
      <c r="K66" s="24"/>
    </row>
    <row r="67" customFormat="false" ht="15" hidden="false" customHeight="false" outlineLevel="0" collapsed="false">
      <c r="A67" s="25" t="n">
        <v>40</v>
      </c>
      <c r="B67" s="26" t="str">
        <f aca="false">พันธนาการรัก!A1</f>
        <v>พันธนาการรัก</v>
      </c>
      <c r="C67" s="25" t="s">
        <v>58</v>
      </c>
      <c r="D67" s="27" t="n">
        <v>35</v>
      </c>
      <c r="E67" s="37" t="s">
        <v>33</v>
      </c>
      <c r="F67" s="27"/>
      <c r="G67" s="29" t="str">
        <f aca="false">พันธนาการรัก!B5</f>
        <v>—</v>
      </c>
      <c r="H67" s="28" t="str">
        <f aca="false">พันธนาการรัก!B6</f>
        <v>—</v>
      </c>
      <c r="I67" s="65" t="str">
        <f aca="false">พันธนาการรัก!B7</f>
        <v>—</v>
      </c>
      <c r="J67" s="34" t="str">
        <f aca="false">พันธนาการรัก!B8</f>
        <v>—</v>
      </c>
      <c r="K67" s="31"/>
    </row>
    <row r="68" customFormat="false" ht="15" hidden="false" customHeight="false" outlineLevel="0" collapsed="false">
      <c r="A68" s="18" t="n">
        <v>41</v>
      </c>
      <c r="B68" s="19" t="str">
        <f aca="false">วิวาห์เดือด!A1</f>
        <v>วิวาห์เดือด</v>
      </c>
      <c r="C68" s="18" t="s">
        <v>35</v>
      </c>
      <c r="D68" s="20" t="n">
        <v>45</v>
      </c>
      <c r="E68" s="32" t="s">
        <v>32</v>
      </c>
      <c r="F68" s="20"/>
      <c r="G68" s="22" t="str">
        <f aca="false">วิวาห์เดือด!B5</f>
        <v>—</v>
      </c>
      <c r="H68" s="21" t="str">
        <f aca="false">วิวาห์เดือด!B6</f>
        <v>—</v>
      </c>
      <c r="I68" s="39" t="str">
        <f aca="false">วิวาห์เดือด!B7</f>
        <v>—</v>
      </c>
      <c r="J68" s="32" t="str">
        <f aca="false">วิวาห์เดือด!B8</f>
        <v>—</v>
      </c>
      <c r="K68" s="24"/>
    </row>
    <row r="69" customFormat="false" ht="15" hidden="false" customHeight="false" outlineLevel="0" collapsed="false">
      <c r="A69" s="25" t="n">
        <v>42</v>
      </c>
      <c r="B69" s="26" t="str">
        <f aca="false">ข้ามเส้นรัก!A1</f>
        <v>ข้ามเส้นรัก</v>
      </c>
      <c r="C69" s="25" t="s">
        <v>21</v>
      </c>
      <c r="D69" s="27" t="n">
        <v>40</v>
      </c>
      <c r="E69" s="29" t="s">
        <v>40</v>
      </c>
      <c r="F69" s="27"/>
      <c r="G69" s="29" t="str">
        <f aca="false">ข้ามเส้นรัก!B5</f>
        <v>—</v>
      </c>
      <c r="H69" s="28" t="str">
        <f aca="false">ข้ามเส้นรัก!B6</f>
        <v>—</v>
      </c>
      <c r="I69" s="65" t="str">
        <f aca="false">ข้ามเส้นรัก!B7</f>
        <v>—</v>
      </c>
      <c r="J69" s="34" t="str">
        <f aca="false">ข้ามเส้นรัก!B8</f>
        <v>—</v>
      </c>
      <c r="K69" s="31"/>
    </row>
    <row r="70" customFormat="false" ht="15" hidden="false" customHeight="false" outlineLevel="0" collapsed="false">
      <c r="A70" s="18" t="n">
        <v>43</v>
      </c>
      <c r="B70" s="19" t="str">
        <f aca="false">ปักหมุดรักหัวใจ!A1</f>
        <v>ปักหมุดรักหัวใจ</v>
      </c>
      <c r="C70" s="18" t="s">
        <v>37</v>
      </c>
      <c r="D70" s="20" t="n">
        <v>35</v>
      </c>
      <c r="E70" s="32" t="s">
        <v>32</v>
      </c>
      <c r="F70" s="20"/>
      <c r="G70" s="22" t="str">
        <f aca="false">ปักหมุดรักหัวใจ!B5</f>
        <v>—</v>
      </c>
      <c r="H70" s="21" t="str">
        <f aca="false">ปักหมุดรักหัวใจ!B6</f>
        <v>—</v>
      </c>
      <c r="I70" s="39" t="str">
        <f aca="false">ปักหมุดรักหัวใจ!B7</f>
        <v>—</v>
      </c>
      <c r="J70" s="32" t="str">
        <f aca="false">ปักหมุดรักหัวใจ!B8</f>
        <v>—</v>
      </c>
      <c r="K70" s="24"/>
    </row>
    <row r="71" customFormat="false" ht="15" hidden="false" customHeight="false" outlineLevel="0" collapsed="false">
      <c r="A71" s="25" t="n">
        <v>44</v>
      </c>
      <c r="B71" s="26" t="str">
        <f aca="false">เจ้าสาวซาตาน!A1</f>
        <v>เจ้าสาวซาตาน</v>
      </c>
      <c r="C71" s="25" t="s">
        <v>19</v>
      </c>
      <c r="D71" s="27" t="n">
        <v>45</v>
      </c>
      <c r="E71" s="37" t="s">
        <v>33</v>
      </c>
      <c r="F71" s="27"/>
      <c r="G71" s="29" t="str">
        <f aca="false">เจ้าสาวซาตาน!B5</f>
        <v>—</v>
      </c>
      <c r="H71" s="28" t="str">
        <f aca="false">เจ้าสาวซาตาน!B6</f>
        <v>—</v>
      </c>
      <c r="I71" s="65" t="str">
        <f aca="false">เจ้าสาวซาตาน!B7</f>
        <v>—</v>
      </c>
      <c r="J71" s="34" t="str">
        <f aca="false">เจ้าสาวซาตาน!B8</f>
        <v>—</v>
      </c>
      <c r="K71" s="31"/>
    </row>
    <row r="72" customFormat="false" ht="15" hidden="false" customHeight="false" outlineLevel="0" collapsed="false">
      <c r="A72" s="18" t="n">
        <v>45</v>
      </c>
      <c r="B72" s="19" t="str">
        <f aca="false">รักเกินห้ามใจ!A1</f>
        <v>รักเกินห้ามใจ</v>
      </c>
      <c r="C72" s="18" t="s">
        <v>14</v>
      </c>
      <c r="D72" s="20" t="n">
        <v>40</v>
      </c>
      <c r="E72" s="32" t="s">
        <v>32</v>
      </c>
      <c r="F72" s="20"/>
      <c r="G72" s="22" t="str">
        <f aca="false">รักเกินห้ามใจ!B5</f>
        <v>—</v>
      </c>
      <c r="H72" s="21" t="str">
        <f aca="false">รักเกินห้ามใจ!B6</f>
        <v>—</v>
      </c>
      <c r="I72" s="39" t="str">
        <f aca="false">รักเกินห้ามใจ!B7</f>
        <v>—</v>
      </c>
      <c r="J72" s="32" t="str">
        <f aca="false">รักเกินห้ามใจ!B8</f>
        <v>—</v>
      </c>
      <c r="K72" s="24"/>
    </row>
    <row r="73" customFormat="false" ht="15" hidden="false" customHeight="false" outlineLevel="0" collapsed="false">
      <c r="A73" s="25" t="n">
        <v>46</v>
      </c>
      <c r="B73" s="26" t="str">
        <f aca="false">คำสาปพญานาค!A1</f>
        <v>คำสาปพญานาค</v>
      </c>
      <c r="C73" s="25" t="s">
        <v>51</v>
      </c>
      <c r="D73" s="27" t="n">
        <v>50</v>
      </c>
      <c r="E73" s="29" t="s">
        <v>40</v>
      </c>
      <c r="F73" s="27"/>
      <c r="G73" s="29" t="str">
        <f aca="false">คำสาปพญานาค!B5</f>
        <v>—</v>
      </c>
      <c r="H73" s="28" t="str">
        <f aca="false">คำสาปพญานาค!B6</f>
        <v>—</v>
      </c>
      <c r="I73" s="65" t="str">
        <f aca="false">คำสาปพญานาค!B7</f>
        <v>—</v>
      </c>
      <c r="J73" s="34" t="str">
        <f aca="false">คำสาปพญานาค!B8</f>
        <v>—</v>
      </c>
      <c r="K73" s="31"/>
    </row>
    <row r="74" customFormat="false" ht="15" hidden="false" customHeight="false" outlineLevel="0" collapsed="false">
      <c r="A74" s="18" t="n">
        <v>47</v>
      </c>
      <c r="B74" s="19" t="str">
        <f aca="false">สืบรักพิสูจน์ใจ!A1</f>
        <v>สืบรักพิสูจน์ใจ</v>
      </c>
      <c r="C74" s="18" t="s">
        <v>42</v>
      </c>
      <c r="D74" s="20" t="n">
        <v>40</v>
      </c>
      <c r="E74" s="32" t="s">
        <v>32</v>
      </c>
      <c r="F74" s="20"/>
      <c r="G74" s="22" t="str">
        <f aca="false">สืบรักพิสูจน์ใจ!B5</f>
        <v>—</v>
      </c>
      <c r="H74" s="21" t="str">
        <f aca="false">สืบรักพิสูจน์ใจ!B6</f>
        <v>—</v>
      </c>
      <c r="I74" s="39" t="str">
        <f aca="false">สืบรักพิสูจน์ใจ!B7</f>
        <v>—</v>
      </c>
      <c r="J74" s="32" t="str">
        <f aca="false">สืบรักพิสูจน์ใจ!B8</f>
        <v>—</v>
      </c>
      <c r="K74" s="24"/>
    </row>
    <row r="75" customFormat="false" ht="15" hidden="false" customHeight="false" outlineLevel="0" collapsed="false">
      <c r="A75" s="25" t="n">
        <v>48</v>
      </c>
      <c r="B75" s="26" t="str">
        <f aca="false">เมียบังเอิญ!A1</f>
        <v>เมียบังเอิญ</v>
      </c>
      <c r="C75" s="25" t="s">
        <v>14</v>
      </c>
      <c r="D75" s="27" t="n">
        <v>35</v>
      </c>
      <c r="E75" s="37" t="s">
        <v>33</v>
      </c>
      <c r="F75" s="27"/>
      <c r="G75" s="29" t="str">
        <f aca="false">เมียบังเอิญ!B5</f>
        <v>—</v>
      </c>
      <c r="H75" s="28" t="str">
        <f aca="false">เมียบังเอิญ!B6</f>
        <v>—</v>
      </c>
      <c r="I75" s="65" t="str">
        <f aca="false">เมียบังเอิญ!B7</f>
        <v>—</v>
      </c>
      <c r="J75" s="34" t="str">
        <f aca="false">เมียบังเอิญ!B8</f>
        <v>—</v>
      </c>
      <c r="K75" s="31"/>
    </row>
    <row r="76" customFormat="false" ht="15" hidden="false" customHeight="false" outlineLevel="0" collapsed="false">
      <c r="A76" s="18" t="n">
        <v>49</v>
      </c>
      <c r="B76" s="19" t="str">
        <f aca="false">จ้าวหัวใจจอมมาร!A1</f>
        <v>จ้าวหัวใจจอมมาร</v>
      </c>
      <c r="C76" s="18" t="s">
        <v>51</v>
      </c>
      <c r="D76" s="20" t="n">
        <v>50</v>
      </c>
      <c r="E76" s="22" t="s">
        <v>40</v>
      </c>
      <c r="F76" s="20"/>
      <c r="G76" s="22" t="str">
        <f aca="false">จ้าวหัวใจจอมมาร!B5</f>
        <v>—</v>
      </c>
      <c r="H76" s="21" t="str">
        <f aca="false">จ้าวหัวใจจอมมาร!B6</f>
        <v>—</v>
      </c>
      <c r="I76" s="39" t="str">
        <f aca="false">จ้าวหัวใจจอมมาร!B7</f>
        <v>—</v>
      </c>
      <c r="J76" s="32" t="str">
        <f aca="false">จ้าวหัวใจจอมมาร!B8</f>
        <v>—</v>
      </c>
      <c r="K76" s="24"/>
    </row>
    <row r="77" customFormat="false" ht="15" hidden="false" customHeight="false" outlineLevel="0" collapsed="false">
      <c r="A77" s="25" t="n">
        <v>50</v>
      </c>
      <c r="B77" s="26" t="str">
        <f aca="false">รักสุดขอบฟ้า!A1</f>
        <v>รักสุดขอบฟ้า</v>
      </c>
      <c r="C77" s="25" t="s">
        <v>37</v>
      </c>
      <c r="D77" s="27" t="n">
        <v>35</v>
      </c>
      <c r="E77" s="34" t="s">
        <v>32</v>
      </c>
      <c r="F77" s="27"/>
      <c r="G77" s="29" t="str">
        <f aca="false">รักสุดขอบฟ้า!B5</f>
        <v>—</v>
      </c>
      <c r="H77" s="28" t="str">
        <f aca="false">รักสุดขอบฟ้า!B6</f>
        <v>—</v>
      </c>
      <c r="I77" s="65" t="str">
        <f aca="false">รักสุดขอบฟ้า!B7</f>
        <v>—</v>
      </c>
      <c r="J77" s="34" t="str">
        <f aca="false">รักสุดขอบฟ้า!B8</f>
        <v>—</v>
      </c>
      <c r="K77" s="31"/>
    </row>
  </sheetData>
  <autoFilter ref="A27:K77"/>
  <mergeCells count="11">
    <mergeCell ref="A1:F1"/>
    <mergeCell ref="A2:F2"/>
    <mergeCell ref="A8:F8"/>
    <mergeCell ref="A16:F16"/>
    <mergeCell ref="C18:F18"/>
    <mergeCell ref="C19:F19"/>
    <mergeCell ref="C20:F20"/>
    <mergeCell ref="C21:F21"/>
    <mergeCell ref="C22:F22"/>
    <mergeCell ref="C23:F23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7" min="3" style="1" width="7"/>
  </cols>
  <sheetData>
    <row r="1" customFormat="false" ht="18" hidden="false" customHeight="true" outlineLevel="0" collapsed="false">
      <c r="A1" s="2" t="s">
        <v>117</v>
      </c>
      <c r="B1" s="2"/>
      <c r="C1" s="2"/>
      <c r="D1" s="2"/>
      <c r="E1" s="2"/>
      <c r="F1" s="2"/>
      <c r="G1" s="2"/>
    </row>
    <row r="2" customFormat="false" ht="12" hidden="false" customHeight="true" outlineLevel="0" collapsed="false">
      <c r="A2" s="3" t="s">
        <v>118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66" t="s">
        <v>119</v>
      </c>
      <c r="B4" s="66"/>
      <c r="C4" s="66"/>
      <c r="D4" s="66"/>
      <c r="E4" s="66"/>
      <c r="F4" s="66"/>
      <c r="G4" s="66"/>
    </row>
    <row r="5" customFormat="false" ht="21.75" hidden="false" customHeight="true" outlineLevel="0" collapsed="false">
      <c r="A5" s="67" t="s">
        <v>120</v>
      </c>
      <c r="B5" s="67" t="s">
        <v>93</v>
      </c>
      <c r="C5" s="67" t="s">
        <v>121</v>
      </c>
      <c r="D5" s="67" t="s">
        <v>122</v>
      </c>
      <c r="E5" s="67" t="s">
        <v>123</v>
      </c>
      <c r="F5" s="67" t="s">
        <v>124</v>
      </c>
      <c r="G5" s="67" t="s">
        <v>125</v>
      </c>
    </row>
    <row r="6" customFormat="false" ht="53.25" hidden="false" customHeight="true" outlineLevel="0" collapsed="false">
      <c r="A6" s="68" t="s">
        <v>96</v>
      </c>
      <c r="B6" s="69" t="s">
        <v>31</v>
      </c>
      <c r="C6" s="13" t="s">
        <v>8</v>
      </c>
      <c r="D6" s="53" t="s">
        <v>126</v>
      </c>
      <c r="E6" s="70" t="s">
        <v>127</v>
      </c>
      <c r="F6" s="68" t="s">
        <v>128</v>
      </c>
      <c r="G6" s="68"/>
    </row>
    <row r="7" customFormat="false" ht="53.25" hidden="false" customHeight="true" outlineLevel="0" collapsed="false">
      <c r="A7" s="68" t="s">
        <v>97</v>
      </c>
      <c r="B7" s="69" t="s">
        <v>34</v>
      </c>
      <c r="C7" s="71" t="s">
        <v>9</v>
      </c>
      <c r="D7" s="53" t="s">
        <v>126</v>
      </c>
      <c r="E7" s="70" t="s">
        <v>127</v>
      </c>
      <c r="F7" s="68" t="s">
        <v>129</v>
      </c>
      <c r="G7" s="68"/>
    </row>
    <row r="8" customFormat="false" ht="53.25" hidden="false" customHeight="true" outlineLevel="0" collapsed="false">
      <c r="A8" s="68" t="s">
        <v>98</v>
      </c>
      <c r="B8" s="69" t="s">
        <v>36</v>
      </c>
      <c r="C8" s="13" t="s">
        <v>8</v>
      </c>
      <c r="D8" s="53" t="s">
        <v>126</v>
      </c>
      <c r="E8" s="70" t="s">
        <v>127</v>
      </c>
      <c r="F8" s="68" t="s">
        <v>128</v>
      </c>
      <c r="G8" s="68"/>
    </row>
    <row r="11" customFormat="false" ht="15" hidden="false" customHeight="true" outlineLevel="0" collapsed="false">
      <c r="A11" s="72" t="s">
        <v>130</v>
      </c>
      <c r="B11" s="72"/>
      <c r="C11" s="72"/>
      <c r="D11" s="72"/>
      <c r="E11" s="72"/>
      <c r="F11" s="72"/>
      <c r="G11" s="72"/>
    </row>
    <row r="12" customFormat="false" ht="15" hidden="false" customHeight="true" outlineLevel="0" collapsed="false">
      <c r="A12" s="6" t="s">
        <v>93</v>
      </c>
      <c r="B12" s="6" t="s">
        <v>121</v>
      </c>
      <c r="C12" s="6" t="s">
        <v>131</v>
      </c>
      <c r="D12" s="6" t="s">
        <v>132</v>
      </c>
      <c r="E12" s="6" t="s">
        <v>133</v>
      </c>
      <c r="F12" s="6" t="s">
        <v>134</v>
      </c>
      <c r="G12" s="6" t="s">
        <v>135</v>
      </c>
    </row>
    <row r="13" customFormat="false" ht="15" hidden="false" customHeight="true" outlineLevel="0" collapsed="false">
      <c r="A13" s="19" t="s">
        <v>13</v>
      </c>
      <c r="B13" s="13" t="s">
        <v>8</v>
      </c>
      <c r="C13" s="20" t="n">
        <v>36</v>
      </c>
      <c r="D13" s="20" t="n">
        <v>37</v>
      </c>
      <c r="E13" s="20" t="n">
        <v>38</v>
      </c>
      <c r="F13" s="20" t="n">
        <v>39</v>
      </c>
      <c r="G13" s="20" t="n">
        <v>40</v>
      </c>
    </row>
    <row r="14" customFormat="false" ht="15" hidden="false" customHeight="true" outlineLevel="0" collapsed="false">
      <c r="A14" s="26" t="s">
        <v>13</v>
      </c>
      <c r="B14" s="71" t="s">
        <v>9</v>
      </c>
      <c r="C14" s="27" t="n">
        <v>31</v>
      </c>
      <c r="D14" s="27" t="n">
        <v>32</v>
      </c>
      <c r="E14" s="27" t="n">
        <v>33</v>
      </c>
      <c r="F14" s="27" t="n">
        <v>34</v>
      </c>
      <c r="G14" s="27" t="n">
        <v>35</v>
      </c>
    </row>
    <row r="15" customFormat="false" ht="15" hidden="false" customHeight="true" outlineLevel="0" collapsed="false">
      <c r="A15" s="19" t="s">
        <v>13</v>
      </c>
      <c r="B15" s="73" t="s">
        <v>10</v>
      </c>
      <c r="C15" s="20" t="n">
        <v>23</v>
      </c>
      <c r="D15" s="20" t="n">
        <v>24</v>
      </c>
      <c r="E15" s="20" t="n">
        <v>25</v>
      </c>
      <c r="F15" s="20" t="n">
        <v>26</v>
      </c>
      <c r="G15" s="20" t="n">
        <v>27</v>
      </c>
    </row>
    <row r="16" customFormat="false" ht="15" hidden="false" customHeight="true" outlineLevel="0" collapsed="false">
      <c r="A16" s="26" t="s">
        <v>18</v>
      </c>
      <c r="B16" s="13" t="s">
        <v>8</v>
      </c>
      <c r="C16" s="27" t="n">
        <v>41</v>
      </c>
      <c r="D16" s="27" t="n">
        <v>42</v>
      </c>
      <c r="E16" s="27" t="n">
        <v>43</v>
      </c>
      <c r="F16" s="27" t="n">
        <v>44</v>
      </c>
      <c r="G16" s="27" t="n">
        <v>45</v>
      </c>
    </row>
    <row r="17" customFormat="false" ht="15" hidden="false" customHeight="true" outlineLevel="0" collapsed="false">
      <c r="A17" s="19" t="s">
        <v>18</v>
      </c>
      <c r="B17" s="71" t="s">
        <v>9</v>
      </c>
      <c r="C17" s="20" t="n">
        <v>36</v>
      </c>
      <c r="D17" s="20" t="n">
        <v>37</v>
      </c>
      <c r="E17" s="20" t="n">
        <v>38</v>
      </c>
      <c r="F17" s="20" t="n">
        <v>39</v>
      </c>
      <c r="G17" s="20" t="n">
        <v>40</v>
      </c>
    </row>
    <row r="18" customFormat="false" ht="15" hidden="false" customHeight="true" outlineLevel="0" collapsed="false">
      <c r="A18" s="26" t="s">
        <v>18</v>
      </c>
      <c r="B18" s="74" t="s">
        <v>11</v>
      </c>
      <c r="C18" s="27" t="n">
        <v>29</v>
      </c>
      <c r="D18" s="27" t="n">
        <v>30</v>
      </c>
      <c r="E18" s="27" t="n">
        <v>31</v>
      </c>
      <c r="F18" s="27" t="n">
        <v>32</v>
      </c>
      <c r="G18" s="27" t="n">
        <v>33</v>
      </c>
    </row>
    <row r="19" customFormat="false" ht="15" hidden="false" customHeight="true" outlineLevel="0" collapsed="false">
      <c r="A19" s="19" t="s">
        <v>22</v>
      </c>
      <c r="B19" s="13" t="s">
        <v>8</v>
      </c>
      <c r="C19" s="20" t="n">
        <v>43</v>
      </c>
      <c r="D19" s="20" t="n">
        <v>44</v>
      </c>
      <c r="E19" s="20" t="n">
        <v>45</v>
      </c>
      <c r="F19" s="20" t="n">
        <v>46</v>
      </c>
      <c r="G19" s="20" t="n">
        <v>47</v>
      </c>
    </row>
    <row r="20" customFormat="false" ht="15" hidden="false" customHeight="true" outlineLevel="0" collapsed="false">
      <c r="A20" s="26" t="s">
        <v>22</v>
      </c>
      <c r="B20" s="71" t="s">
        <v>9</v>
      </c>
      <c r="C20" s="27" t="n">
        <v>39</v>
      </c>
      <c r="D20" s="27" t="n">
        <v>40</v>
      </c>
      <c r="E20" s="27" t="n">
        <v>41</v>
      </c>
      <c r="F20" s="27" t="n">
        <v>42</v>
      </c>
      <c r="G20" s="27" t="n">
        <v>43</v>
      </c>
    </row>
    <row r="21" customFormat="false" ht="15" hidden="false" customHeight="true" outlineLevel="0" collapsed="false">
      <c r="A21" s="19" t="s">
        <v>22</v>
      </c>
      <c r="B21" s="73" t="s">
        <v>10</v>
      </c>
      <c r="C21" s="20" t="n">
        <v>31</v>
      </c>
      <c r="D21" s="20" t="n">
        <v>32</v>
      </c>
      <c r="E21" s="20" t="n">
        <v>33</v>
      </c>
      <c r="F21" s="20" t="n">
        <v>34</v>
      </c>
      <c r="G21" s="20" t="n">
        <v>35</v>
      </c>
    </row>
    <row r="22" customFormat="false" ht="15" hidden="false" customHeight="true" outlineLevel="0" collapsed="false">
      <c r="A22" s="26" t="s">
        <v>22</v>
      </c>
      <c r="B22" s="74" t="s">
        <v>11</v>
      </c>
      <c r="C22" s="27" t="n">
        <v>26</v>
      </c>
      <c r="D22" s="27" t="n">
        <v>27</v>
      </c>
      <c r="E22" s="27" t="n">
        <v>28</v>
      </c>
      <c r="F22" s="27" t="n">
        <v>29</v>
      </c>
      <c r="G22" s="27" t="n">
        <v>30</v>
      </c>
    </row>
    <row r="23" customFormat="false" ht="15" hidden="false" customHeight="true" outlineLevel="0" collapsed="false">
      <c r="A23" s="19" t="s">
        <v>24</v>
      </c>
      <c r="B23" s="13" t="s">
        <v>8</v>
      </c>
      <c r="C23" s="20" t="n">
        <v>46</v>
      </c>
      <c r="D23" s="20" t="n">
        <v>47</v>
      </c>
      <c r="E23" s="20" t="n">
        <v>48</v>
      </c>
      <c r="F23" s="20" t="n">
        <v>49</v>
      </c>
      <c r="G23" s="20" t="n">
        <v>50</v>
      </c>
    </row>
    <row r="24" customFormat="false" ht="15" hidden="false" customHeight="true" outlineLevel="0" collapsed="false">
      <c r="A24" s="26" t="s">
        <v>24</v>
      </c>
      <c r="B24" s="71" t="s">
        <v>9</v>
      </c>
      <c r="C24" s="27" t="n">
        <v>41</v>
      </c>
      <c r="D24" s="27" t="n">
        <v>42</v>
      </c>
      <c r="E24" s="27" t="n">
        <v>43</v>
      </c>
      <c r="F24" s="27" t="n">
        <v>44</v>
      </c>
      <c r="G24" s="27" t="n">
        <v>45</v>
      </c>
    </row>
    <row r="25" customFormat="false" ht="15" hidden="false" customHeight="true" outlineLevel="0" collapsed="false">
      <c r="A25" s="19" t="s">
        <v>24</v>
      </c>
      <c r="B25" s="73" t="s">
        <v>10</v>
      </c>
      <c r="C25" s="20" t="n">
        <v>33</v>
      </c>
      <c r="D25" s="20" t="n">
        <v>34</v>
      </c>
      <c r="E25" s="20" t="n">
        <v>35</v>
      </c>
      <c r="F25" s="20" t="n">
        <v>36</v>
      </c>
      <c r="G25" s="20" t="n">
        <v>37</v>
      </c>
    </row>
    <row r="26" customFormat="false" ht="15" hidden="false" customHeight="true" outlineLevel="0" collapsed="false">
      <c r="A26" s="26" t="s">
        <v>24</v>
      </c>
      <c r="B26" s="74" t="s">
        <v>11</v>
      </c>
      <c r="C26" s="27" t="n">
        <v>29</v>
      </c>
      <c r="D26" s="27" t="n">
        <v>30</v>
      </c>
      <c r="E26" s="27" t="n">
        <v>31</v>
      </c>
      <c r="F26" s="27" t="n">
        <v>32</v>
      </c>
      <c r="G26" s="27" t="n">
        <v>33</v>
      </c>
    </row>
    <row r="27" customFormat="false" ht="15" hidden="false" customHeight="true" outlineLevel="0" collapsed="false">
      <c r="A27" s="19" t="s">
        <v>20</v>
      </c>
      <c r="B27" s="13" t="s">
        <v>8</v>
      </c>
      <c r="C27" s="20" t="n">
        <v>19</v>
      </c>
      <c r="D27" s="20" t="n">
        <v>20</v>
      </c>
      <c r="E27" s="20" t="n">
        <v>21</v>
      </c>
      <c r="F27" s="20" t="n">
        <v>22</v>
      </c>
      <c r="G27" s="20" t="n">
        <v>23</v>
      </c>
    </row>
    <row r="28" customFormat="false" ht="15" hidden="false" customHeight="true" outlineLevel="0" collapsed="false">
      <c r="A28" s="26" t="s">
        <v>20</v>
      </c>
      <c r="B28" s="71" t="s">
        <v>9</v>
      </c>
      <c r="C28" s="27" t="n">
        <v>15</v>
      </c>
      <c r="D28" s="27" t="n">
        <v>16</v>
      </c>
      <c r="E28" s="27" t="n">
        <v>17</v>
      </c>
      <c r="F28" s="27" t="n">
        <v>18</v>
      </c>
      <c r="G28" s="27" t="n">
        <v>19</v>
      </c>
    </row>
    <row r="29" customFormat="false" ht="15" hidden="false" customHeight="true" outlineLevel="0" collapsed="false">
      <c r="A29" s="19" t="s">
        <v>26</v>
      </c>
      <c r="B29" s="13" t="s">
        <v>8</v>
      </c>
      <c r="C29" s="20" t="n">
        <v>21</v>
      </c>
      <c r="D29" s="20" t="n">
        <v>22</v>
      </c>
      <c r="E29" s="20" t="n">
        <v>23</v>
      </c>
      <c r="F29" s="20" t="n">
        <v>24</v>
      </c>
      <c r="G29" s="20" t="n">
        <v>25</v>
      </c>
    </row>
    <row r="30" customFormat="false" ht="15" hidden="false" customHeight="true" outlineLevel="0" collapsed="false">
      <c r="A30" s="26" t="s">
        <v>27</v>
      </c>
      <c r="B30" s="13" t="s">
        <v>8</v>
      </c>
      <c r="C30" s="27" t="n">
        <v>16</v>
      </c>
      <c r="D30" s="27" t="n">
        <v>17</v>
      </c>
      <c r="E30" s="27" t="n">
        <v>18</v>
      </c>
      <c r="F30" s="27" t="n">
        <v>19</v>
      </c>
      <c r="G30" s="27" t="n">
        <v>20</v>
      </c>
    </row>
    <row r="31" customFormat="false" ht="15" hidden="false" customHeight="true" outlineLevel="0" collapsed="false">
      <c r="A31" s="19" t="s">
        <v>29</v>
      </c>
      <c r="B31" s="13" t="s">
        <v>8</v>
      </c>
      <c r="C31" s="20" t="n">
        <v>13</v>
      </c>
      <c r="D31" s="20" t="n">
        <v>14</v>
      </c>
      <c r="E31" s="20" t="n">
        <v>15</v>
      </c>
      <c r="F31" s="20" t="n">
        <v>16</v>
      </c>
      <c r="G31" s="20" t="n">
        <v>17</v>
      </c>
    </row>
    <row r="33" customFormat="false" ht="15" hidden="false" customHeight="true" outlineLevel="0" collapsed="false">
      <c r="A33" s="51" t="s">
        <v>136</v>
      </c>
      <c r="B33" s="51"/>
      <c r="C33" s="51"/>
      <c r="D33" s="51"/>
      <c r="E33" s="51"/>
      <c r="F33" s="51"/>
      <c r="G33" s="51"/>
    </row>
    <row r="34" customFormat="false" ht="12" hidden="false" customHeight="true" outlineLevel="0" collapsed="false">
      <c r="A34" s="3" t="s">
        <v>137</v>
      </c>
      <c r="B34" s="3"/>
      <c r="C34" s="3"/>
      <c r="D34" s="3"/>
      <c r="E34" s="3"/>
      <c r="F34" s="3"/>
      <c r="G34" s="3"/>
    </row>
    <row r="35" customFormat="false" ht="12" hidden="false" customHeight="true" outlineLevel="0" collapsed="false">
      <c r="A35" s="3" t="s">
        <v>138</v>
      </c>
      <c r="B35" s="3"/>
      <c r="C35" s="3"/>
      <c r="D35" s="3"/>
      <c r="E35" s="3"/>
      <c r="F35" s="3"/>
      <c r="G35" s="3"/>
    </row>
    <row r="36" customFormat="false" ht="12" hidden="false" customHeight="true" outlineLevel="0" collapsed="false">
      <c r="A36" s="3" t="s">
        <v>139</v>
      </c>
      <c r="B36" s="3"/>
      <c r="C36" s="3"/>
      <c r="D36" s="3"/>
      <c r="E36" s="3"/>
      <c r="F36" s="3"/>
      <c r="G36" s="3"/>
    </row>
  </sheetData>
  <mergeCells count="8">
    <mergeCell ref="A1:G1"/>
    <mergeCell ref="A2:G2"/>
    <mergeCell ref="A4:G4"/>
    <mergeCell ref="A11:G11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75" t="s">
        <v>140</v>
      </c>
      <c r="B1" s="75"/>
      <c r="C1" s="75"/>
    </row>
    <row r="2" customFormat="false" ht="15" hidden="false" customHeight="true" outlineLevel="0" collapsed="false">
      <c r="A2" s="76" t="s">
        <v>141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81" t="n">
        <v>35</v>
      </c>
      <c r="C5" s="82" t="n">
        <f aca="false">B5/50</f>
        <v>0.7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4" t="s">
        <v>158</v>
      </c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86" t="n">
        <v>30</v>
      </c>
      <c r="C6" s="82" t="n">
        <f aca="false">B6/50</f>
        <v>0.6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4" t="s">
        <v>158</v>
      </c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88" t="n">
        <v>22</v>
      </c>
      <c r="C7" s="89" t="n">
        <f aca="false">B7/50</f>
        <v>0.44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84" t="s">
        <v>158</v>
      </c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75" t="s">
        <v>162</v>
      </c>
      <c r="B1" s="75"/>
      <c r="C1" s="75"/>
    </row>
    <row r="2" customFormat="false" ht="15" hidden="false" customHeight="true" outlineLevel="0" collapsed="false">
      <c r="A2" s="76" t="s">
        <v>163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81" t="n">
        <v>40</v>
      </c>
      <c r="C5" s="82" t="n">
        <f aca="false">B5/45</f>
        <v>0.888888888888889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4" t="s">
        <v>158</v>
      </c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86" t="n">
        <v>35</v>
      </c>
      <c r="C6" s="82" t="n">
        <f aca="false">B6/45</f>
        <v>0.777777777777778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4" t="s">
        <v>158</v>
      </c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5" t="n">
        <v>28</v>
      </c>
      <c r="C8" s="82" t="n">
        <f aca="false">B8/45</f>
        <v>0.622222222222222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84" t="s">
        <v>158</v>
      </c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20</v>
      </c>
      <c r="B1" s="97"/>
      <c r="C1" s="97"/>
    </row>
    <row r="2" customFormat="false" ht="15" hidden="false" customHeight="true" outlineLevel="0" collapsed="false">
      <c r="A2" s="76" t="s">
        <v>164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81" t="n">
        <v>18</v>
      </c>
      <c r="C5" s="89" t="n">
        <f aca="false">B5/40</f>
        <v>0.45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 t="s">
        <v>158</v>
      </c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86" t="n">
        <v>14</v>
      </c>
      <c r="C6" s="89" t="n">
        <f aca="false">B6/40</f>
        <v>0.35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4" t="s">
        <v>158</v>
      </c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75" t="s">
        <v>165</v>
      </c>
      <c r="B1" s="75"/>
      <c r="C1" s="75"/>
    </row>
    <row r="2" customFormat="false" ht="15" hidden="false" customHeight="true" outlineLevel="0" collapsed="false">
      <c r="A2" s="76" t="s">
        <v>166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81" t="n">
        <v>42</v>
      </c>
      <c r="C5" s="82" t="n">
        <f aca="false">B5/50</f>
        <v>0.84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4" t="s">
        <v>158</v>
      </c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86" t="n">
        <v>38</v>
      </c>
      <c r="C6" s="82" t="n">
        <f aca="false">B6/50</f>
        <v>0.76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4" t="s">
        <v>158</v>
      </c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88" t="n">
        <v>30</v>
      </c>
      <c r="C7" s="82" t="n">
        <f aca="false">B7/50</f>
        <v>0.6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84" t="s">
        <v>158</v>
      </c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5" t="n">
        <v>25</v>
      </c>
      <c r="C8" s="82" t="n">
        <f aca="false">B8/50</f>
        <v>0.5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84" t="s">
        <v>158</v>
      </c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6.5" hidden="false" customHeight="true" outlineLevel="0" collapsed="false">
      <c r="A1" s="75" t="s">
        <v>167</v>
      </c>
      <c r="B1" s="75"/>
      <c r="C1" s="75"/>
    </row>
    <row r="2" customFormat="false" ht="15" hidden="false" customHeight="true" outlineLevel="0" collapsed="false">
      <c r="A2" s="76" t="s">
        <v>168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81" t="n">
        <v>45</v>
      </c>
      <c r="C5" s="82" t="n">
        <f aca="false">B5/50</f>
        <v>0.9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 t="s">
        <v>158</v>
      </c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86" t="n">
        <v>40</v>
      </c>
      <c r="C6" s="82" t="n">
        <f aca="false">B6/50</f>
        <v>0.8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4" t="s">
        <v>158</v>
      </c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88" t="n">
        <v>32</v>
      </c>
      <c r="C7" s="82" t="n">
        <f aca="false">B7/50</f>
        <v>0.64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84" t="s">
        <v>158</v>
      </c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5" t="n">
        <v>28</v>
      </c>
      <c r="C8" s="82" t="n">
        <f aca="false">B8/50</f>
        <v>0.56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84" t="s">
        <v>158</v>
      </c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26</v>
      </c>
      <c r="B1" s="97"/>
      <c r="C1" s="97"/>
    </row>
    <row r="2" customFormat="false" ht="15" hidden="false" customHeight="true" outlineLevel="0" collapsed="false">
      <c r="A2" s="76" t="s">
        <v>170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81" t="n">
        <v>20</v>
      </c>
      <c r="C5" s="89" t="n">
        <f aca="false">B5/45</f>
        <v>0.444444444444444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4" t="s">
        <v>158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27</v>
      </c>
      <c r="B1" s="97"/>
      <c r="C1" s="97"/>
    </row>
    <row r="2" customFormat="false" ht="15" hidden="false" customHeight="true" outlineLevel="0" collapsed="false">
      <c r="A2" s="76" t="s">
        <v>171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81" t="n">
        <v>15</v>
      </c>
      <c r="C5" s="89" t="n">
        <f aca="false">B5/40</f>
        <v>0.375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4" t="s">
        <v>158</v>
      </c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97" t="s">
        <v>29</v>
      </c>
      <c r="B1" s="97"/>
      <c r="C1" s="97"/>
    </row>
    <row r="2" customFormat="false" ht="15" hidden="false" customHeight="true" outlineLevel="0" collapsed="false">
      <c r="A2" s="76" t="s">
        <v>172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81" t="n">
        <v>12</v>
      </c>
      <c r="C5" s="89" t="n">
        <f aca="false">B5/50</f>
        <v>0.24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4" t="s">
        <v>158</v>
      </c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31</v>
      </c>
      <c r="B1" s="97"/>
      <c r="C1" s="97"/>
    </row>
    <row r="2" customFormat="false" ht="15" hidden="false" customHeight="true" outlineLevel="0" collapsed="false">
      <c r="A2" s="76" t="s">
        <v>173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34</v>
      </c>
      <c r="B1" s="97"/>
      <c r="C1" s="97"/>
    </row>
    <row r="2" customFormat="false" ht="15" hidden="false" customHeight="true" outlineLevel="0" collapsed="false">
      <c r="A2" s="76" t="s">
        <v>174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36</v>
      </c>
      <c r="B1" s="97"/>
      <c r="C1" s="97"/>
    </row>
    <row r="2" customFormat="false" ht="15" hidden="false" customHeight="true" outlineLevel="0" collapsed="false">
      <c r="A2" s="76" t="s">
        <v>175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38</v>
      </c>
      <c r="B1" s="97"/>
      <c r="C1" s="97"/>
    </row>
    <row r="2" customFormat="false" ht="15" hidden="false" customHeight="true" outlineLevel="0" collapsed="false">
      <c r="A2" s="76" t="s">
        <v>176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41</v>
      </c>
      <c r="B1" s="97"/>
      <c r="C1" s="97"/>
    </row>
    <row r="2" customFormat="false" ht="15" hidden="false" customHeight="true" outlineLevel="0" collapsed="false">
      <c r="A2" s="76" t="s">
        <v>177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43</v>
      </c>
      <c r="B1" s="97"/>
      <c r="C1" s="97"/>
    </row>
    <row r="2" customFormat="false" ht="15" hidden="false" customHeight="true" outlineLevel="0" collapsed="false">
      <c r="A2" s="76" t="s">
        <v>178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44</v>
      </c>
      <c r="B1" s="97"/>
      <c r="C1" s="97"/>
    </row>
    <row r="2" customFormat="false" ht="15" hidden="false" customHeight="true" outlineLevel="0" collapsed="false">
      <c r="A2" s="76" t="s">
        <v>179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97" t="s">
        <v>46</v>
      </c>
      <c r="B1" s="97"/>
      <c r="C1" s="97"/>
    </row>
    <row r="2" customFormat="false" ht="15" hidden="false" customHeight="true" outlineLevel="0" collapsed="false">
      <c r="A2" s="76" t="s">
        <v>180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47</v>
      </c>
      <c r="B1" s="97"/>
      <c r="C1" s="97"/>
    </row>
    <row r="2" customFormat="false" ht="15" hidden="false" customHeight="true" outlineLevel="0" collapsed="false">
      <c r="A2" s="76" t="s">
        <v>181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48</v>
      </c>
      <c r="B1" s="97"/>
      <c r="C1" s="97"/>
    </row>
    <row r="2" customFormat="false" ht="15" hidden="false" customHeight="true" outlineLevel="0" collapsed="false">
      <c r="A2" s="76" t="s">
        <v>182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50</v>
      </c>
      <c r="B1" s="97"/>
      <c r="C1" s="97"/>
    </row>
    <row r="2" customFormat="false" ht="15" hidden="false" customHeight="true" outlineLevel="0" collapsed="false">
      <c r="A2" s="76" t="s">
        <v>183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52</v>
      </c>
      <c r="B1" s="97"/>
      <c r="C1" s="97"/>
    </row>
    <row r="2" customFormat="false" ht="15" hidden="false" customHeight="true" outlineLevel="0" collapsed="false">
      <c r="A2" s="76" t="s">
        <v>184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53</v>
      </c>
      <c r="B1" s="97"/>
      <c r="C1" s="97"/>
    </row>
    <row r="2" customFormat="false" ht="15" hidden="false" customHeight="true" outlineLevel="0" collapsed="false">
      <c r="A2" s="76" t="s">
        <v>185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3" min="4" style="1" width="3"/>
  </cols>
  <sheetData>
    <row r="1" customFormat="false" ht="17.25" hidden="false" customHeight="true" outlineLevel="0" collapsed="false">
      <c r="A1" s="97" t="s">
        <v>54</v>
      </c>
      <c r="B1" s="97"/>
      <c r="C1" s="97"/>
    </row>
    <row r="2" customFormat="false" ht="15" hidden="false" customHeight="true" outlineLevel="0" collapsed="false">
      <c r="A2" s="76" t="s">
        <v>186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56</v>
      </c>
      <c r="B1" s="97"/>
      <c r="C1" s="97"/>
    </row>
    <row r="2" customFormat="false" ht="15" hidden="false" customHeight="true" outlineLevel="0" collapsed="false">
      <c r="A2" s="76" t="s">
        <v>187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57</v>
      </c>
      <c r="B1" s="97"/>
      <c r="C1" s="97"/>
    </row>
    <row r="2" customFormat="false" ht="15" hidden="false" customHeight="true" outlineLevel="0" collapsed="false">
      <c r="A2" s="76" t="s">
        <v>188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81" t="n">
        <v>35</v>
      </c>
      <c r="C5" s="82" t="n">
        <f aca="false">B5/35</f>
        <v>1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</row>
    <row r="6" customFormat="false" ht="15" hidden="false" customHeight="true" outlineLevel="0" collapsed="false">
      <c r="A6" s="71" t="s">
        <v>9</v>
      </c>
      <c r="B6" s="86" t="n">
        <v>35</v>
      </c>
      <c r="C6" s="82" t="n">
        <f aca="false">B6/35</f>
        <v>1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60</v>
      </c>
      <c r="B1" s="97"/>
      <c r="C1" s="97"/>
    </row>
    <row r="2" customFormat="false" ht="15" hidden="false" customHeight="true" outlineLevel="0" collapsed="false">
      <c r="A2" s="76" t="s">
        <v>189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81" t="n">
        <v>18</v>
      </c>
      <c r="C5" s="89" t="n">
        <f aca="false">B5/40</f>
        <v>0.45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4" t="s">
        <v>158</v>
      </c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86" t="n">
        <v>14</v>
      </c>
      <c r="C6" s="89" t="n">
        <f aca="false">B6/40</f>
        <v>0.35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4" t="s">
        <v>158</v>
      </c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62</v>
      </c>
      <c r="B1" s="97"/>
      <c r="C1" s="97"/>
    </row>
    <row r="2" customFormat="false" ht="15" hidden="false" customHeight="true" outlineLevel="0" collapsed="false">
      <c r="A2" s="76" t="s">
        <v>190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63</v>
      </c>
      <c r="B1" s="97"/>
      <c r="C1" s="97"/>
    </row>
    <row r="2" customFormat="false" ht="15" hidden="false" customHeight="true" outlineLevel="0" collapsed="false">
      <c r="A2" s="76" t="s">
        <v>175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64</v>
      </c>
      <c r="B1" s="97"/>
      <c r="C1" s="97"/>
    </row>
    <row r="2" customFormat="false" ht="15" hidden="false" customHeight="true" outlineLevel="0" collapsed="false">
      <c r="A2" s="76" t="s">
        <v>191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97" t="s">
        <v>65</v>
      </c>
      <c r="B1" s="97"/>
      <c r="C1" s="97"/>
    </row>
    <row r="2" customFormat="false" ht="15" hidden="false" customHeight="true" outlineLevel="0" collapsed="false">
      <c r="A2" s="76" t="s">
        <v>192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66</v>
      </c>
      <c r="B1" s="97"/>
      <c r="C1" s="97"/>
    </row>
    <row r="2" customFormat="false" ht="15" hidden="false" customHeight="true" outlineLevel="0" collapsed="false">
      <c r="A2" s="76" t="s">
        <v>193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67</v>
      </c>
      <c r="B1" s="97"/>
      <c r="C1" s="97"/>
    </row>
    <row r="2" customFormat="false" ht="15" hidden="false" customHeight="true" outlineLevel="0" collapsed="false">
      <c r="A2" s="76" t="s">
        <v>194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68</v>
      </c>
      <c r="B1" s="97"/>
      <c r="C1" s="97"/>
    </row>
    <row r="2" customFormat="false" ht="15" hidden="false" customHeight="true" outlineLevel="0" collapsed="false">
      <c r="A2" s="76" t="s">
        <v>195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69</v>
      </c>
      <c r="B1" s="97"/>
      <c r="C1" s="97"/>
    </row>
    <row r="2" customFormat="false" ht="15" hidden="false" customHeight="true" outlineLevel="0" collapsed="false">
      <c r="A2" s="76" t="s">
        <v>187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70</v>
      </c>
      <c r="B1" s="97"/>
      <c r="C1" s="97"/>
    </row>
    <row r="2" customFormat="false" ht="15" hidden="false" customHeight="true" outlineLevel="0" collapsed="false">
      <c r="A2" s="76" t="s">
        <v>196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71</v>
      </c>
      <c r="B1" s="97"/>
      <c r="C1" s="97"/>
    </row>
    <row r="2" customFormat="false" ht="15" hidden="false" customHeight="true" outlineLevel="0" collapsed="false">
      <c r="A2" s="76" t="s">
        <v>175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72</v>
      </c>
      <c r="B1" s="97"/>
      <c r="C1" s="97"/>
    </row>
    <row r="2" customFormat="false" ht="15" hidden="false" customHeight="true" outlineLevel="0" collapsed="false">
      <c r="A2" s="76" t="s">
        <v>197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97" t="s">
        <v>73</v>
      </c>
      <c r="B1" s="97"/>
      <c r="C1" s="97"/>
    </row>
    <row r="2" customFormat="false" ht="15" hidden="false" customHeight="true" outlineLevel="0" collapsed="false">
      <c r="A2" s="76" t="s">
        <v>192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74</v>
      </c>
      <c r="B1" s="97"/>
      <c r="C1" s="97"/>
    </row>
    <row r="2" customFormat="false" ht="15" hidden="false" customHeight="true" outlineLevel="0" collapsed="false">
      <c r="A2" s="76" t="s">
        <v>175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75</v>
      </c>
      <c r="B1" s="97"/>
      <c r="C1" s="97"/>
    </row>
    <row r="2" customFormat="false" ht="15" hidden="false" customHeight="true" outlineLevel="0" collapsed="false">
      <c r="A2" s="76" t="s">
        <v>182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76</v>
      </c>
      <c r="B1" s="97"/>
      <c r="C1" s="97"/>
    </row>
    <row r="2" customFormat="false" ht="15" hidden="false" customHeight="true" outlineLevel="0" collapsed="false">
      <c r="A2" s="76" t="s">
        <v>198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77</v>
      </c>
      <c r="B1" s="97"/>
      <c r="C1" s="97"/>
    </row>
    <row r="2" customFormat="false" ht="15" hidden="false" customHeight="true" outlineLevel="0" collapsed="false">
      <c r="A2" s="76" t="s">
        <v>199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78</v>
      </c>
      <c r="B1" s="97"/>
      <c r="C1" s="97"/>
    </row>
    <row r="2" customFormat="false" ht="15" hidden="false" customHeight="true" outlineLevel="0" collapsed="false">
      <c r="A2" s="76" t="s">
        <v>200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79</v>
      </c>
      <c r="B1" s="97"/>
      <c r="C1" s="97"/>
    </row>
    <row r="2" customFormat="false" ht="15" hidden="false" customHeight="true" outlineLevel="0" collapsed="false">
      <c r="A2" s="76" t="s">
        <v>175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8" min="4" style="1" width="3"/>
  </cols>
  <sheetData>
    <row r="1" customFormat="false" ht="17.25" hidden="false" customHeight="true" outlineLevel="0" collapsed="false">
      <c r="A1" s="97" t="s">
        <v>80</v>
      </c>
      <c r="B1" s="97"/>
      <c r="C1" s="97"/>
    </row>
    <row r="2" customFormat="false" ht="15" hidden="false" customHeight="true" outlineLevel="0" collapsed="false">
      <c r="A2" s="76" t="s">
        <v>201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81</v>
      </c>
      <c r="B1" s="97"/>
      <c r="C1" s="97"/>
    </row>
    <row r="2" customFormat="false" ht="15" hidden="false" customHeight="true" outlineLevel="0" collapsed="false">
      <c r="A2" s="76" t="s">
        <v>173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97" t="s">
        <v>82</v>
      </c>
      <c r="B1" s="97"/>
      <c r="C1" s="97"/>
    </row>
    <row r="2" customFormat="false" ht="15" hidden="false" customHeight="true" outlineLevel="0" collapsed="false">
      <c r="A2" s="76" t="s">
        <v>192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3" min="4" style="1" width="3"/>
  </cols>
  <sheetData>
    <row r="1" customFormat="false" ht="17.25" hidden="false" customHeight="true" outlineLevel="0" collapsed="false">
      <c r="A1" s="97" t="s">
        <v>83</v>
      </c>
      <c r="B1" s="97"/>
      <c r="C1" s="97"/>
    </row>
    <row r="2" customFormat="false" ht="15" hidden="false" customHeight="true" outlineLevel="0" collapsed="false">
      <c r="A2" s="76" t="s">
        <v>202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55F7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84</v>
      </c>
      <c r="B1" s="97"/>
      <c r="C1" s="97"/>
    </row>
    <row r="2" customFormat="false" ht="15" hidden="false" customHeight="true" outlineLevel="0" collapsed="false">
      <c r="A2" s="76" t="s">
        <v>203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B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53" min="4" style="1" width="3"/>
  </cols>
  <sheetData>
    <row r="1" customFormat="false" ht="17.25" hidden="false" customHeight="true" outlineLevel="0" collapsed="false">
      <c r="A1" s="97" t="s">
        <v>85</v>
      </c>
      <c r="B1" s="97"/>
      <c r="C1" s="97"/>
    </row>
    <row r="2" customFormat="false" ht="15" hidden="false" customHeight="true" outlineLevel="0" collapsed="false">
      <c r="A2" s="76" t="s">
        <v>192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4" t="s">
        <v>151</v>
      </c>
      <c r="X4" s="4"/>
      <c r="Y4" s="4"/>
      <c r="Z4" s="4"/>
      <c r="AA4" s="4"/>
      <c r="AB4" s="7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  <c r="AM4" s="4"/>
      <c r="AN4" s="4"/>
      <c r="AO4" s="4"/>
      <c r="AP4" s="4"/>
      <c r="AQ4" s="4" t="s">
        <v>155</v>
      </c>
      <c r="AR4" s="4"/>
      <c r="AS4" s="4"/>
      <c r="AT4" s="4"/>
      <c r="AU4" s="4"/>
      <c r="AV4" s="4" t="s">
        <v>156</v>
      </c>
      <c r="AW4" s="4"/>
      <c r="AX4" s="4"/>
      <c r="AY4" s="4"/>
      <c r="AZ4" s="4"/>
      <c r="BA4" s="4" t="s">
        <v>157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93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93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93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3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169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38" min="4" style="1" width="3"/>
  </cols>
  <sheetData>
    <row r="1" customFormat="false" ht="17.25" hidden="false" customHeight="true" outlineLevel="0" collapsed="false">
      <c r="A1" s="97" t="s">
        <v>86</v>
      </c>
      <c r="B1" s="97"/>
      <c r="C1" s="97"/>
    </row>
    <row r="2" customFormat="false" ht="15" hidden="false" customHeight="true" outlineLevel="0" collapsed="false">
      <c r="A2" s="76" t="s">
        <v>175</v>
      </c>
      <c r="B2" s="76"/>
      <c r="C2" s="76"/>
    </row>
    <row r="3" customFormat="false" ht="15" hidden="false" customHeight="true" outlineLevel="0" collapsed="false">
      <c r="D3" s="77"/>
      <c r="E3" s="78" t="s">
        <v>142</v>
      </c>
      <c r="F3" s="79"/>
      <c r="G3" s="78" t="s">
        <v>143</v>
      </c>
      <c r="H3" s="80"/>
      <c r="I3" s="78" t="s">
        <v>144</v>
      </c>
    </row>
    <row r="4" customFormat="false" ht="21.75" hidden="false" customHeight="true" outlineLevel="0" collapsed="false">
      <c r="A4" s="4" t="s">
        <v>121</v>
      </c>
      <c r="B4" s="4" t="s">
        <v>145</v>
      </c>
      <c r="C4" s="4" t="s">
        <v>146</v>
      </c>
      <c r="D4" s="4" t="s">
        <v>147</v>
      </c>
      <c r="E4" s="4"/>
      <c r="F4" s="4"/>
      <c r="G4" s="4"/>
      <c r="H4" s="4" t="s">
        <v>148</v>
      </c>
      <c r="I4" s="4"/>
      <c r="J4" s="4"/>
      <c r="K4" s="4"/>
      <c r="L4" s="4"/>
      <c r="M4" s="4" t="s">
        <v>149</v>
      </c>
      <c r="N4" s="4"/>
      <c r="O4" s="4"/>
      <c r="P4" s="4"/>
      <c r="Q4" s="4"/>
      <c r="R4" s="4" t="s">
        <v>150</v>
      </c>
      <c r="S4" s="4"/>
      <c r="T4" s="4"/>
      <c r="U4" s="4"/>
      <c r="V4" s="4"/>
      <c r="W4" s="7" t="s">
        <v>151</v>
      </c>
      <c r="X4" s="4"/>
      <c r="Y4" s="4"/>
      <c r="Z4" s="4"/>
      <c r="AA4" s="4"/>
      <c r="AB4" s="4" t="s">
        <v>152</v>
      </c>
      <c r="AC4" s="4"/>
      <c r="AD4" s="4"/>
      <c r="AE4" s="4"/>
      <c r="AF4" s="4"/>
      <c r="AG4" s="4" t="s">
        <v>153</v>
      </c>
      <c r="AH4" s="4"/>
      <c r="AI4" s="4"/>
      <c r="AJ4" s="4"/>
      <c r="AK4" s="4"/>
      <c r="AL4" s="4" t="s">
        <v>154</v>
      </c>
    </row>
    <row r="5" customFormat="false" ht="15" hidden="false" customHeight="true" outlineLevel="0" collapsed="false">
      <c r="A5" s="13" t="s">
        <v>8</v>
      </c>
      <c r="B5" s="91" t="s">
        <v>17</v>
      </c>
      <c r="C5" s="92" t="n">
        <v>0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93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customFormat="false" ht="15" hidden="false" customHeight="true" outlineLevel="0" collapsed="false">
      <c r="A6" s="71" t="s">
        <v>9</v>
      </c>
      <c r="B6" s="91" t="s">
        <v>17</v>
      </c>
      <c r="C6" s="92" t="n">
        <v>0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93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</row>
    <row r="7" customFormat="false" ht="15" hidden="false" customHeight="true" outlineLevel="0" collapsed="false">
      <c r="A7" s="73" t="s">
        <v>10</v>
      </c>
      <c r="B7" s="91" t="s">
        <v>17</v>
      </c>
      <c r="C7" s="92" t="n">
        <v>0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93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</row>
    <row r="8" customFormat="false" ht="15" hidden="false" customHeight="true" outlineLevel="0" collapsed="false">
      <c r="A8" s="74" t="s">
        <v>11</v>
      </c>
      <c r="B8" s="91" t="s">
        <v>17</v>
      </c>
      <c r="C8" s="92" t="n">
        <v>0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93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</row>
    <row r="10" customFormat="false" ht="15" hidden="false" customHeight="true" outlineLevel="0" collapsed="false">
      <c r="A10" s="94" t="s">
        <v>159</v>
      </c>
      <c r="B10" s="94"/>
      <c r="C10" s="94"/>
    </row>
    <row r="11" customFormat="false" ht="15" hidden="false" customHeight="true" outlineLevel="0" collapsed="false">
      <c r="A11" s="76" t="s">
        <v>160</v>
      </c>
      <c r="B11" s="76"/>
      <c r="C11" s="76"/>
    </row>
    <row r="12" customFormat="false" ht="15" hidden="false" customHeight="true" outlineLevel="0" collapsed="false">
      <c r="A12" s="76" t="s">
        <v>161</v>
      </c>
      <c r="B12" s="76"/>
      <c r="C12" s="76"/>
    </row>
  </sheetData>
  <mergeCells count="5">
    <mergeCell ref="A1:C1"/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2026-02-10T04:46:06Z</dcterms:created>
  <dc:creator>openpyxl</dc:creator>
  <dc:description/>
  <dc:language>en-US</dc:language>
  <cp:lastModifiedBy/>
  <dcterms:modified xsi:type="dcterms:W3CDTF">2026-02-10T05:13:31Z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